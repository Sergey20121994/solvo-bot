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zamyatin\Documents\GitHub\solvo-bot\"/>
    </mc:Choice>
  </mc:AlternateContent>
  <xr:revisionPtr revIDLastSave="0" documentId="13_ncr:1_{AC658590-9FC6-42E1-B13F-FF1A6D2D4B12}" xr6:coauthVersionLast="47" xr6:coauthVersionMax="47" xr10:uidLastSave="{00000000-0000-0000-0000-000000000000}"/>
  <bookViews>
    <workbookView xWindow="-96" yWindow="-96" windowWidth="23232" windowHeight="13872" tabRatio="500" firstSheet="2" activeTab="2" xr2:uid="{00000000-000D-0000-FFFF-FFFF00000000}"/>
  </bookViews>
  <sheets>
    <sheet name="📊 Дашборд" sheetId="1" r:id="rId1"/>
    <sheet name="📋 Реестр" sheetId="2" r:id="rId2"/>
    <sheet name="Судовые документы" sheetId="3" r:id="rId3"/>
    <sheet name="Таможенные документы" sheetId="4" r:id="rId4"/>
    <sheet name="Экспортные грузы" sheetId="5" r:id="rId5"/>
    <sheet name="Терминал" sheetId="6" r:id="rId6"/>
    <sheet name="ЖД грузы" sheetId="7" r:id="rId7"/>
    <sheet name="Настройки" sheetId="8" r:id="rId8"/>
    <sheet name="Статус СЦ" sheetId="9" state="hidden" r:id="rId9"/>
    <sheet name="Статус СОЛВО" sheetId="10" state="hidden" r:id="rId10"/>
    <sheet name="Приоритет" sheetId="11" state="hidden" r:id="rId11"/>
    <sheet name="Справочники" sheetId="12" state="hidden" r:id="rId12"/>
  </sheets>
  <definedNames>
    <definedName name="_xlnm._FilterDatabase" localSheetId="6" hidden="1">'ЖД грузы'!$A$5:$L$5</definedName>
    <definedName name="_xlnm._FilterDatabase" localSheetId="2" hidden="1">'Судовые документы'!$A$5:$L$5</definedName>
    <definedName name="_xlnm._FilterDatabase" localSheetId="3" hidden="1">'Таможенные документы'!$A$5:$L$5</definedName>
    <definedName name="_xlnm._FilterDatabase" localSheetId="5" hidden="1">Терминал!$A$5:$L$5</definedName>
    <definedName name="_xlnm._FilterDatabase" localSheetId="4" hidden="1">'Экспортные грузы'!$A$5:$L$5</definedName>
    <definedName name="_xlnm._FilterDatabase" localSheetId="1" hidden="1">'📋 Реестр'!$A$3:$M$52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5" l="1"/>
  <c r="A4" i="4"/>
  <c r="A4" i="3"/>
  <c r="B27" i="1"/>
  <c r="F26" i="1"/>
  <c r="G25" i="1"/>
  <c r="F25" i="1"/>
  <c r="G26" i="1"/>
  <c r="I52" i="2" l="1"/>
  <c r="I11" i="4"/>
  <c r="D4" i="4"/>
  <c r="B4" i="6" l="1"/>
  <c r="I16" i="7"/>
  <c r="E4" i="7"/>
  <c r="D4" i="7"/>
  <c r="E12" i="1" s="1"/>
  <c r="C4" i="7"/>
  <c r="D12" i="1" s="1"/>
  <c r="B4" i="7"/>
  <c r="C12" i="1" s="1"/>
  <c r="A4" i="7"/>
  <c r="I22" i="6"/>
  <c r="E4" i="6"/>
  <c r="D4" i="6"/>
  <c r="E11" i="1" s="1"/>
  <c r="C4" i="6"/>
  <c r="D11" i="1" s="1"/>
  <c r="A4" i="6"/>
  <c r="B11" i="1" s="1"/>
  <c r="E4" i="5"/>
  <c r="D4" i="5"/>
  <c r="E10" i="1" s="1"/>
  <c r="C4" i="5"/>
  <c r="D10" i="1" s="1"/>
  <c r="B4" i="5"/>
  <c r="C10" i="1" s="1"/>
  <c r="A4" i="5"/>
  <c r="E4" i="4"/>
  <c r="E9" i="1"/>
  <c r="C4" i="4"/>
  <c r="B4" i="4"/>
  <c r="C9" i="1" s="1"/>
  <c r="B9" i="1"/>
  <c r="I13" i="3"/>
  <c r="E4" i="3"/>
  <c r="D4" i="3"/>
  <c r="C4" i="3"/>
  <c r="D8" i="1" s="1"/>
  <c r="B4" i="3"/>
  <c r="B26" i="1"/>
  <c r="B25" i="1"/>
  <c r="G24" i="1"/>
  <c r="F24" i="1"/>
  <c r="B24" i="1"/>
  <c r="G23" i="1"/>
  <c r="F23" i="1"/>
  <c r="B23" i="1"/>
  <c r="B22" i="1"/>
  <c r="G22" i="1"/>
  <c r="F22" i="1"/>
  <c r="B21" i="1"/>
  <c r="G21" i="1"/>
  <c r="F21" i="1"/>
  <c r="B20" i="1"/>
  <c r="G20" i="1"/>
  <c r="F20" i="1"/>
  <c r="B19" i="1"/>
  <c r="G19" i="1"/>
  <c r="F19" i="1"/>
  <c r="B18" i="1"/>
  <c r="G18" i="1"/>
  <c r="F18" i="1"/>
  <c r="B17" i="1"/>
  <c r="G17" i="1"/>
  <c r="F17" i="1"/>
  <c r="B16" i="1"/>
  <c r="L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B28" i="1" l="1"/>
  <c r="C26" i="1"/>
  <c r="C27" i="1"/>
  <c r="F27" i="1"/>
  <c r="D5" i="1"/>
  <c r="D6" i="1" s="1"/>
  <c r="E8" i="1"/>
  <c r="E13" i="1" s="1"/>
  <c r="C5" i="1"/>
  <c r="G27" i="1"/>
  <c r="M23" i="2"/>
  <c r="M46" i="2"/>
  <c r="M15" i="2"/>
  <c r="M31" i="2"/>
  <c r="M27" i="2"/>
  <c r="M13" i="2"/>
  <c r="M10" i="2"/>
  <c r="M11" i="2"/>
  <c r="M6" i="2"/>
  <c r="J26" i="2"/>
  <c r="J37" i="2"/>
  <c r="M14" i="2"/>
  <c r="J32" i="2"/>
  <c r="M38" i="2"/>
  <c r="M33" i="2"/>
  <c r="M39" i="2"/>
  <c r="M34" i="2"/>
  <c r="M17" i="2"/>
  <c r="M35" i="2"/>
  <c r="M40" i="2"/>
  <c r="J29" i="2"/>
  <c r="J25" i="2"/>
  <c r="M36" i="2"/>
  <c r="M48" i="2"/>
  <c r="M7" i="2"/>
  <c r="M43" i="2"/>
  <c r="M49" i="2"/>
  <c r="M44" i="2"/>
  <c r="M50" i="2"/>
  <c r="M9" i="2"/>
  <c r="M51" i="2"/>
  <c r="M47" i="2"/>
  <c r="M42" i="2"/>
  <c r="M22" i="2"/>
  <c r="M16" i="2"/>
  <c r="M45" i="2"/>
  <c r="M19" i="2"/>
  <c r="M20" i="2"/>
  <c r="M37" i="2"/>
  <c r="M8" i="2"/>
  <c r="M21" i="2"/>
  <c r="J30" i="2"/>
  <c r="M26" i="2"/>
  <c r="M28" i="2"/>
  <c r="M25" i="2"/>
  <c r="M30" i="2"/>
  <c r="M29" i="2"/>
  <c r="M32" i="2"/>
  <c r="J38" i="2"/>
  <c r="M5" i="2"/>
  <c r="J43" i="2"/>
  <c r="J33" i="2"/>
  <c r="J22" i="2"/>
  <c r="J34" i="2"/>
  <c r="J47" i="2"/>
  <c r="J40" i="2"/>
  <c r="I36" i="2"/>
  <c r="J28" i="2"/>
  <c r="J9" i="2"/>
  <c r="J31" i="2"/>
  <c r="J39" i="2"/>
  <c r="I27" i="2"/>
  <c r="J35" i="2"/>
  <c r="J44" i="2"/>
  <c r="J10" i="2"/>
  <c r="J42" i="2"/>
  <c r="J46" i="2"/>
  <c r="J50" i="2"/>
  <c r="J51" i="2"/>
  <c r="J5" i="2"/>
  <c r="J6" i="2"/>
  <c r="J48" i="2"/>
  <c r="J7" i="2"/>
  <c r="J8" i="2"/>
  <c r="J45" i="2"/>
  <c r="J49" i="2"/>
  <c r="J19" i="2"/>
  <c r="D23" i="2"/>
  <c r="E20" i="2"/>
  <c r="E21" i="2"/>
  <c r="J13" i="2"/>
  <c r="J17" i="2"/>
  <c r="J27" i="2"/>
  <c r="J14" i="2"/>
  <c r="I15" i="2"/>
  <c r="J36" i="2"/>
  <c r="J16" i="2"/>
  <c r="I45" i="2"/>
  <c r="I42" i="2"/>
  <c r="J21" i="2"/>
  <c r="J20" i="2"/>
  <c r="I44" i="2"/>
  <c r="J23" i="2"/>
  <c r="J15" i="2"/>
  <c r="I13" i="2"/>
  <c r="I48" i="2"/>
  <c r="I50" i="2"/>
  <c r="F22" i="2"/>
  <c r="I19" i="2"/>
  <c r="I47" i="2"/>
  <c r="I33" i="2"/>
  <c r="I46" i="2"/>
  <c r="H35" i="2"/>
  <c r="D25" i="2"/>
  <c r="I38" i="2"/>
  <c r="H32" i="2"/>
  <c r="I26" i="2"/>
  <c r="D39" i="2"/>
  <c r="I29" i="2"/>
  <c r="H43" i="2"/>
  <c r="D49" i="2"/>
  <c r="I43" i="2"/>
  <c r="I30" i="2"/>
  <c r="I34" i="2"/>
  <c r="H51" i="2"/>
  <c r="I49" i="2"/>
  <c r="I40" i="2"/>
  <c r="I37" i="2"/>
  <c r="D31" i="2"/>
  <c r="H48" i="2"/>
  <c r="I28" i="2"/>
  <c r="I51" i="2"/>
  <c r="I10" i="2"/>
  <c r="I7" i="2"/>
  <c r="I8" i="2"/>
  <c r="I9" i="2"/>
  <c r="I6" i="2"/>
  <c r="I25" i="2"/>
  <c r="I31" i="2"/>
  <c r="I32" i="2"/>
  <c r="I35" i="2"/>
  <c r="I39" i="2"/>
  <c r="E16" i="2"/>
  <c r="H44" i="2"/>
  <c r="H47" i="2"/>
  <c r="H42" i="2"/>
  <c r="H50" i="2"/>
  <c r="I17" i="2"/>
  <c r="H45" i="2"/>
  <c r="I20" i="2"/>
  <c r="I14" i="2"/>
  <c r="I21" i="2"/>
  <c r="I22" i="2"/>
  <c r="I23" i="2"/>
  <c r="I16" i="2"/>
  <c r="H46" i="2"/>
  <c r="E19" i="2"/>
  <c r="E13" i="2"/>
  <c r="H38" i="2"/>
  <c r="H49" i="2"/>
  <c r="E48" i="2"/>
  <c r="H26" i="2"/>
  <c r="H34" i="2"/>
  <c r="H37" i="2"/>
  <c r="E46" i="2"/>
  <c r="D28" i="2"/>
  <c r="H27" i="2"/>
  <c r="D33" i="2"/>
  <c r="H25" i="2"/>
  <c r="E36" i="2"/>
  <c r="H28" i="2"/>
  <c r="H30" i="2"/>
  <c r="H36" i="2"/>
  <c r="H31" i="2"/>
  <c r="H33" i="2"/>
  <c r="D40" i="2"/>
  <c r="E17" i="2"/>
  <c r="D27" i="2"/>
  <c r="D35" i="2"/>
  <c r="D30" i="2"/>
  <c r="H39" i="2"/>
  <c r="H29" i="2"/>
  <c r="D26" i="2"/>
  <c r="D34" i="2"/>
  <c r="D29" i="2"/>
  <c r="D37" i="2"/>
  <c r="E14" i="2"/>
  <c r="D32" i="2"/>
  <c r="D38" i="2"/>
  <c r="H40" i="2"/>
  <c r="E43" i="2"/>
  <c r="E51" i="2"/>
  <c r="E44" i="2"/>
  <c r="H19" i="2"/>
  <c r="H20" i="2"/>
  <c r="H21" i="2"/>
  <c r="E47" i="2"/>
  <c r="E42" i="2"/>
  <c r="E45" i="2"/>
  <c r="H22" i="2"/>
  <c r="H23" i="2"/>
  <c r="E50" i="2"/>
  <c r="E15" i="2"/>
  <c r="H13" i="2"/>
  <c r="H15" i="2"/>
  <c r="H14" i="2"/>
  <c r="H16" i="2"/>
  <c r="H17" i="2"/>
  <c r="E49" i="2"/>
  <c r="E26" i="2"/>
  <c r="E27" i="2"/>
  <c r="E28" i="2"/>
  <c r="E29" i="2"/>
  <c r="E30" i="2"/>
  <c r="E31" i="2"/>
  <c r="E32" i="2"/>
  <c r="E25" i="2"/>
  <c r="E33" i="2"/>
  <c r="E34" i="2"/>
  <c r="E35" i="2"/>
  <c r="E37" i="2"/>
  <c r="E38" i="2"/>
  <c r="E39" i="2"/>
  <c r="E40" i="2"/>
  <c r="D44" i="2"/>
  <c r="E22" i="2"/>
  <c r="E23" i="2"/>
  <c r="D43" i="2"/>
  <c r="D51" i="2"/>
  <c r="D46" i="2"/>
  <c r="D42" i="2"/>
  <c r="D50" i="2"/>
  <c r="D47" i="2"/>
  <c r="D48" i="2"/>
  <c r="D45" i="2"/>
  <c r="D17" i="2"/>
  <c r="D13" i="2"/>
  <c r="D14" i="2"/>
  <c r="D16" i="2"/>
  <c r="D36" i="2"/>
  <c r="D15" i="2"/>
  <c r="D19" i="2"/>
  <c r="F20" i="2"/>
  <c r="D20" i="2"/>
  <c r="D21" i="2"/>
  <c r="D22" i="2"/>
  <c r="I5" i="2"/>
  <c r="E9" i="2"/>
  <c r="H10" i="2"/>
  <c r="G5" i="2"/>
  <c r="H8" i="2"/>
  <c r="H7" i="2"/>
  <c r="H6" i="2"/>
  <c r="H9" i="2"/>
  <c r="F10" i="1"/>
  <c r="E7" i="2"/>
  <c r="E10" i="2"/>
  <c r="G6" i="2"/>
  <c r="B10" i="1"/>
  <c r="E8" i="2"/>
  <c r="H5" i="2"/>
  <c r="E6" i="2"/>
  <c r="L23" i="2"/>
  <c r="L19" i="2"/>
  <c r="E5" i="2"/>
  <c r="F35" i="2"/>
  <c r="L32" i="2"/>
  <c r="L9" i="2"/>
  <c r="F27" i="2"/>
  <c r="L21" i="2"/>
  <c r="L28" i="2"/>
  <c r="L37" i="2"/>
  <c r="L30" i="2"/>
  <c r="L36" i="2"/>
  <c r="L14" i="2"/>
  <c r="F31" i="2"/>
  <c r="F39" i="2"/>
  <c r="G20" i="2"/>
  <c r="G29" i="2"/>
  <c r="F16" i="2"/>
  <c r="L20" i="2"/>
  <c r="L40" i="2"/>
  <c r="G16" i="2"/>
  <c r="F37" i="2"/>
  <c r="G19" i="2"/>
  <c r="G37" i="2"/>
  <c r="F8" i="2"/>
  <c r="F19" i="2"/>
  <c r="F6" i="2"/>
  <c r="F48" i="2"/>
  <c r="F9" i="1"/>
  <c r="F29" i="2"/>
  <c r="G14" i="2"/>
  <c r="D6" i="2"/>
  <c r="F14" i="2"/>
  <c r="F44" i="2"/>
  <c r="L29" i="2"/>
  <c r="F13" i="2"/>
  <c r="G28" i="2"/>
  <c r="C22" i="1"/>
  <c r="D8" i="2"/>
  <c r="F33" i="2"/>
  <c r="L25" i="2"/>
  <c r="G33" i="2"/>
  <c r="L6" i="2"/>
  <c r="L33" i="2"/>
  <c r="F23" i="2"/>
  <c r="B12" i="1"/>
  <c r="L16" i="2"/>
  <c r="G26" i="2"/>
  <c r="F28" i="2"/>
  <c r="D7" i="2"/>
  <c r="F5" i="2"/>
  <c r="F17" i="2"/>
  <c r="F50" i="2"/>
  <c r="D9" i="2"/>
  <c r="F26" i="2"/>
  <c r="G23" i="2"/>
  <c r="D10" i="2"/>
  <c r="L5" i="2"/>
  <c r="L15" i="2"/>
  <c r="B5" i="1"/>
  <c r="F34" i="2"/>
  <c r="G34" i="2"/>
  <c r="F11" i="1"/>
  <c r="F36" i="2"/>
  <c r="G36" i="2"/>
  <c r="G10" i="2"/>
  <c r="F12" i="1"/>
  <c r="F7" i="2"/>
  <c r="L26" i="2"/>
  <c r="G7" i="2"/>
  <c r="L10" i="2"/>
  <c r="F25" i="2"/>
  <c r="G38" i="2"/>
  <c r="B8" i="1"/>
  <c r="F9" i="2"/>
  <c r="G25" i="2"/>
  <c r="F30" i="2"/>
  <c r="F40" i="2"/>
  <c r="C8" i="1"/>
  <c r="G9" i="2"/>
  <c r="F15" i="2"/>
  <c r="G30" i="2"/>
  <c r="G40" i="2"/>
  <c r="E5" i="1"/>
  <c r="F10" i="2"/>
  <c r="F38" i="2"/>
  <c r="G15" i="2"/>
  <c r="L34" i="2"/>
  <c r="F21" i="2"/>
  <c r="F32" i="2"/>
  <c r="L7" i="2"/>
  <c r="G21" i="2"/>
  <c r="G32" i="2"/>
  <c r="L38" i="2"/>
  <c r="D5" i="2"/>
  <c r="C25" i="1"/>
  <c r="G13" i="2"/>
  <c r="G17" i="2"/>
  <c r="G35" i="2"/>
  <c r="G39" i="2"/>
  <c r="G44" i="2"/>
  <c r="L49" i="2"/>
  <c r="L42" i="2"/>
  <c r="L46" i="2"/>
  <c r="L50" i="2"/>
  <c r="A5" i="1"/>
  <c r="D9" i="1"/>
  <c r="D13" i="1" s="1"/>
  <c r="F49" i="2"/>
  <c r="G8" i="2"/>
  <c r="G22" i="2"/>
  <c r="G27" i="2"/>
  <c r="G31" i="2"/>
  <c r="L45" i="2"/>
  <c r="G48" i="2"/>
  <c r="F43" i="2"/>
  <c r="F47" i="2"/>
  <c r="F51" i="2"/>
  <c r="C19" i="1"/>
  <c r="C23" i="1"/>
  <c r="L8" i="2"/>
  <c r="L13" i="2"/>
  <c r="L17" i="2"/>
  <c r="L22" i="2"/>
  <c r="L27" i="2"/>
  <c r="L31" i="2"/>
  <c r="L35" i="2"/>
  <c r="L39" i="2"/>
  <c r="G43" i="2"/>
  <c r="L44" i="2"/>
  <c r="G47" i="2"/>
  <c r="L48" i="2"/>
  <c r="G51" i="2"/>
  <c r="F8" i="1"/>
  <c r="C16" i="1"/>
  <c r="C20" i="1"/>
  <c r="C24" i="1"/>
  <c r="C11" i="1"/>
  <c r="F46" i="2"/>
  <c r="G42" i="2"/>
  <c r="L43" i="2"/>
  <c r="G46" i="2"/>
  <c r="L47" i="2"/>
  <c r="G50" i="2"/>
  <c r="L51" i="2"/>
  <c r="F42" i="2"/>
  <c r="C17" i="1"/>
  <c r="G45" i="2"/>
  <c r="F45" i="2"/>
  <c r="C21" i="1"/>
  <c r="G49" i="2"/>
  <c r="C18" i="1"/>
  <c r="C28" i="1" l="1"/>
  <c r="B13" i="1"/>
  <c r="C13" i="1"/>
  <c r="F13" i="1" l="1"/>
</calcChain>
</file>

<file path=xl/sharedStrings.xml><?xml version="1.0" encoding="utf-8"?>
<sst xmlns="http://schemas.openxmlformats.org/spreadsheetml/2006/main" count="647" uniqueCount="216">
  <si>
    <t>РЕЕСТР ЗАДАЧ АВТОМАТИЗАЦИИ СЦ СОЛВО 2026</t>
  </si>
  <si>
    <t>Сводный реестр — данные подтягиваются автоматически из листов по разделам. Правки вноси на листах разделов.</t>
  </si>
  <si>
    <t>№</t>
  </si>
  <si>
    <t>Номер заявки</t>
  </si>
  <si>
    <t>Наименование</t>
  </si>
  <si>
    <t>Описание задачи</t>
  </si>
  <si>
    <t>Срок</t>
  </si>
  <si>
    <t>Статус СЦ</t>
  </si>
  <si>
    <t>Статус СОЛВО</t>
  </si>
  <si>
    <t>Релиз</t>
  </si>
  <si>
    <t>Ч/часов</t>
  </si>
  <si>
    <t>Оценена</t>
  </si>
  <si>
    <t>Категория</t>
  </si>
  <si>
    <t>Приоритет</t>
  </si>
  <si>
    <t>Примечания</t>
  </si>
  <si>
    <t xml:space="preserve">  ▸  Обработка судовых документов</t>
  </si>
  <si>
    <t>Обработка судовых документов</t>
  </si>
  <si>
    <t xml:space="preserve">  ▸  Оформление таможенных документов</t>
  </si>
  <si>
    <t>Оформление таможенных документов</t>
  </si>
  <si>
    <t xml:space="preserve">  ▸  Оформление экспортных грузов</t>
  </si>
  <si>
    <t>Оформление экспортных грузов</t>
  </si>
  <si>
    <t xml:space="preserve">  ▸  Терминальные операции</t>
  </si>
  <si>
    <t>Терминальные операции</t>
  </si>
  <si>
    <t xml:space="preserve">  ▸  Документальное оформление ЖД грузов</t>
  </si>
  <si>
    <t>Документальное оформление ЖД грузов</t>
  </si>
  <si>
    <t>ИТОГО ПО РЕЕСТРУ</t>
  </si>
  <si>
    <t>ДАШБОРД  ·  АВТОМАТИЗАЦИЯ СЦ СОЛВО 2026</t>
  </si>
  <si>
    <t>Всего задач</t>
  </si>
  <si>
    <t>Выполнено</t>
  </si>
  <si>
    <t>В работе</t>
  </si>
  <si>
    <t>Ч/часов (оценка)</t>
  </si>
  <si>
    <t>% выполнено</t>
  </si>
  <si>
    <t>Категория / Раздел</t>
  </si>
  <si>
    <t>Всего</t>
  </si>
  <si>
    <t>% готовности</t>
  </si>
  <si>
    <t>ИТОГО</t>
  </si>
  <si>
    <t>Разбивка по статусу СОЛВО</t>
  </si>
  <si>
    <t>Задачи по релизам</t>
  </si>
  <si>
    <t>Установлено</t>
  </si>
  <si>
    <t>7.4.4</t>
  </si>
  <si>
    <t>ОПЭ</t>
  </si>
  <si>
    <t>7.4.5</t>
  </si>
  <si>
    <t>Тестирование</t>
  </si>
  <si>
    <t>7.4.7</t>
  </si>
  <si>
    <t>7.4.8</t>
  </si>
  <si>
    <t>Разработка</t>
  </si>
  <si>
    <t>7.4.9</t>
  </si>
  <si>
    <t>Аналитика</t>
  </si>
  <si>
    <t>7.4.10</t>
  </si>
  <si>
    <t>Оценка</t>
  </si>
  <si>
    <t>Ожидает рассмотрения</t>
  </si>
  <si>
    <t>7.4.11</t>
  </si>
  <si>
    <t>Приостановлена</t>
  </si>
  <si>
    <t>7.4.12</t>
  </si>
  <si>
    <t>На приемке</t>
  </si>
  <si>
    <t>Не СОЛВО</t>
  </si>
  <si>
    <t>Итого</t>
  </si>
  <si>
    <t>💡 Вноси данные на листах разделов → Реестр и Дашборд обновляются автоматически</t>
  </si>
  <si>
    <t>ОБРАБОТКА СУДОВЫХ ДОКУМЕНТОВ</t>
  </si>
  <si>
    <t>✏️  Этот лист — источник данных. Вноси правки здесь — Реестр обновится автоматически.</t>
  </si>
  <si>
    <t>4SC-1-RQ-CR-789 #3297986</t>
  </si>
  <si>
    <t>Автоматизация ДО 1</t>
  </si>
  <si>
    <t>Корректное формирование ДО1 для контейнеров с признаком SOC</t>
  </si>
  <si>
    <t>май 2026</t>
  </si>
  <si>
    <t>Нет</t>
  </si>
  <si>
    <t>Средний</t>
  </si>
  <si>
    <t>Некорректный вес в ген. Акте из-за дублирования веса тары</t>
  </si>
  <si>
    <t>Да</t>
  </si>
  <si>
    <t>4SC-RQ-CR-876 #3628043</t>
  </si>
  <si>
    <t>Загрузка EDI cuscar</t>
  </si>
  <si>
    <t>Проверка ключевых параметров коносамента</t>
  </si>
  <si>
    <t>4SC-1-RQ-CR-779 #3283630</t>
  </si>
  <si>
    <t>Ген акт, А/И, ведомость приема импорта</t>
  </si>
  <si>
    <t>Подписание ген акта, А/И агентом. Ведомость направляется агенту автоматически</t>
  </si>
  <si>
    <t>выполнено</t>
  </si>
  <si>
    <t>Ведомость погрузки контейнеров на судно</t>
  </si>
  <si>
    <t>Реализация подписания Ведомости погрузки с использованием ЭП в ЛКК</t>
  </si>
  <si>
    <t>4SC-RQ-CR-984 #4012275</t>
  </si>
  <si>
    <t>Приемка трансшипмента, ПРР 2й категории</t>
  </si>
  <si>
    <t>Обработка трансшипмента при загрузке коносамента</t>
  </si>
  <si>
    <t>4SC-RQ-CR-988 #4032163</t>
  </si>
  <si>
    <t>Обработка на т/х порожних контейнеров (каботаж)</t>
  </si>
  <si>
    <t>Добавить направление «Внутренний» и прием в квоту (депо)</t>
  </si>
  <si>
    <t>2026</t>
  </si>
  <si>
    <t>ИТОГО ПО РАЗДЕЛУ</t>
  </si>
  <si>
    <t>ОФОРМЛЕНИЕ ТАМОЖЕННЫХ ДОКУМЕНТОВ</t>
  </si>
  <si>
    <t>4SC-1-RQ-CR-342 #2361714</t>
  </si>
  <si>
    <t>Контроль выпуска и автоматизация ДО 2</t>
  </si>
  <si>
    <t>Создание КА в СОЛВО, автоматическое формирование и отправка ДО2</t>
  </si>
  <si>
    <t>Низкий</t>
  </si>
  <si>
    <t>4SC-RQ-CR-704 #3030536</t>
  </si>
  <si>
    <t>ВТТ транзит для Бананов</t>
  </si>
  <si>
    <t>Автоматическая прогрузка таможенного разрешения после получения уведомления</t>
  </si>
  <si>
    <t>4SC-RQ-CR-912 #3936824</t>
  </si>
  <si>
    <t>Таможенные разрешения в СОЛВО 7</t>
  </si>
  <si>
    <t>Функционал работы с Таможенными разрешениями + контроль весов</t>
  </si>
  <si>
    <t>4SC-RQ-CR-567 #2711673</t>
  </si>
  <si>
    <t>ЖД импорт</t>
  </si>
  <si>
    <t>ЖД импорт: ДО1, ДО2, ком. акт, растарки</t>
  </si>
  <si>
    <t>Прием импорта на авто</t>
  </si>
  <si>
    <t>Оформление ДО-1, загрузка ТР, оформление ДО-2</t>
  </si>
  <si>
    <t>ОФОРМЛЕНИЕ ЭКСПОРТНЫХ ГРУЗОВ</t>
  </si>
  <si>
    <t>Fill-Bill приемка ПнП через ЛКК</t>
  </si>
  <si>
    <t>Функционал реализован в Fill-Bill. ОПЭ, ошибки</t>
  </si>
  <si>
    <t>4SC-RQ-CR-725 #3089473</t>
  </si>
  <si>
    <t>Запрос на открытие букинга</t>
  </si>
  <si>
    <t>Открытие (управление) букингами в ЛКК</t>
  </si>
  <si>
    <t>4SC-RQ-CR-883 #3670931</t>
  </si>
  <si>
    <t>Изменения и обработка COPARN</t>
  </si>
  <si>
    <t>Адресные контейнеры (ссылочные) MSC — без смены с/захода</t>
  </si>
  <si>
    <t>4SC-1-RQ-CR-792 #3304168</t>
  </si>
  <si>
    <t>Оформление возврата</t>
  </si>
  <si>
    <t>Реализация в ЛКК КТСП функционала по оформлению возврата контейнера</t>
  </si>
  <si>
    <t>Оформление заявки на смену владельца</t>
  </si>
  <si>
    <t>Реализация в ЛКК КТСП функционала по смене владельца контейнера</t>
  </si>
  <si>
    <t>ТЕРМИНАЛЬНЫЕ ОПЕРАЦИИ</t>
  </si>
  <si>
    <t>4SC-1-RQ-CR-801 #3312205</t>
  </si>
  <si>
    <t>Оформление заявки на растарку/затарку</t>
  </si>
  <si>
    <t>Единая форма создания заявок на растарку и затарку на WEB портале</t>
  </si>
  <si>
    <t>4SC-1-RQ-CR-793 #3307477</t>
  </si>
  <si>
    <t>Проставление даты оформления по растарке</t>
  </si>
  <si>
    <t>Автоматизация установки даты оформления у растаренных контейнеров</t>
  </si>
  <si>
    <t>4SC-1-RQ-CR-803 #3313227</t>
  </si>
  <si>
    <t>Реализация функционала частичной растарки</t>
  </si>
  <si>
    <t>В ЛКК добавить возможность создания заявок на растарку в ТС с признаком частичной растарки</t>
  </si>
  <si>
    <t>4SC-1-RQ-CR-800 #3312196</t>
  </si>
  <si>
    <t>Создание заявок на перетарку на WEB</t>
  </si>
  <si>
    <t>На WEB портал добавить форму для создания заявок на перетарку</t>
  </si>
  <si>
    <t>4SC-RQ-CR-852 #3451221</t>
  </si>
  <si>
    <t>Инфо при создании ЗАВ на растарку в ТС</t>
  </si>
  <si>
    <t>Добавить столбцы «Растариваемый вес» и «Количество единиц» в таблицу ЛКК</t>
  </si>
  <si>
    <t>4SC-RQ-CR-717 #3074729</t>
  </si>
  <si>
    <t>Оформление заявки на досмотр/взвешивание</t>
  </si>
  <si>
    <t>Реализация web-интерфейса для заявок на таможенные процедуры от ГКО</t>
  </si>
  <si>
    <t>Оформление таможенного запрета</t>
  </si>
  <si>
    <t>Оформление таможенного запрета в web-интерфейсе</t>
  </si>
  <si>
    <t>4SC-RQ-CR-969 #3975634</t>
  </si>
  <si>
    <t>Отображение данных по досмотру в событиях ЛКК</t>
  </si>
  <si>
    <t>Доп требование от 26.09.2025</t>
  </si>
  <si>
    <t>4SC-RQ-CR-588 #2747185</t>
  </si>
  <si>
    <t>Оформление номинации</t>
  </si>
  <si>
    <t>Реализация в ЛКК функционала для оформления номинаций. Разделение: Номинация + релиз</t>
  </si>
  <si>
    <t>4SC-1-RQ-CR-791 #3304099</t>
  </si>
  <si>
    <t>Услуги контейнерного сервиса / навешивание пломб</t>
  </si>
  <si>
    <t>Реализация в ЛКК интерфейса для заявок на коммерческие услуги</t>
  </si>
  <si>
    <t>Оформление заявок на навешивание пломб РЖД</t>
  </si>
  <si>
    <t>Связана с задачей «Услуги контейнерного сервиса»</t>
  </si>
  <si>
    <t>Генерация номера заявки на услуги</t>
  </si>
  <si>
    <t>Операции с контейнерами — Заявки на универсальные услуги</t>
  </si>
  <si>
    <t>4SC-1-RQ-CR-807 #3320311</t>
  </si>
  <si>
    <t>Изменение данных при обращении клиента</t>
  </si>
  <si>
    <t>Систематизация приема ктк в экспорте под договоры контрагентов АСТ/Экспедитор</t>
  </si>
  <si>
    <t>4SC-1-RQ-CR-804 #3313235</t>
  </si>
  <si>
    <t>Вид услуг в Договорах</t>
  </si>
  <si>
    <t>Контроль выставления услуг под клиентские договоры (DEXP)</t>
  </si>
  <si>
    <t>2027</t>
  </si>
  <si>
    <t>Функционал удаления АВ на WEB портале</t>
  </si>
  <si>
    <t>Удаление автовизита с проверкой таймслота через ЛКК</t>
  </si>
  <si>
    <t>4SC-1-RQ-CR-373 #2400022</t>
  </si>
  <si>
    <t>Сообщение при создании ЗАВ о незавершённых операциях</t>
  </si>
  <si>
    <t>Предупреждение при создании ЗАВ если есть незавершённые операции по импортному контейнеру</t>
  </si>
  <si>
    <t>ДОКУМЕНТАЛЬНОЕ ОФОРМЛЕНИЕ ЖД ГРУЗОВ</t>
  </si>
  <si>
    <t>4SC-RQ-CR-908 #3828162</t>
  </si>
  <si>
    <t>Оформление разнарядки на ж/д</t>
  </si>
  <si>
    <t>Реализация разнарядки на работы по обработке ЖД состава</t>
  </si>
  <si>
    <t>4SC-1-RQ-CR-495 #2591758</t>
  </si>
  <si>
    <t>Создание ЖД накладных / интеграция с ЭТРАН</t>
  </si>
  <si>
    <t>Автоматическое формирование ЖД накладной с возможностью корректировки в ЛКК КТСП</t>
  </si>
  <si>
    <t>ОПЭ (нояб. 2026)</t>
  </si>
  <si>
    <t>План ж.д. работ (Excel)</t>
  </si>
  <si>
    <t>Перенос ручного заполнения Excel в автоматический отчёт в СОЛВО</t>
  </si>
  <si>
    <t>4SC-RQ-CR-953 #3942095</t>
  </si>
  <si>
    <t>АОФ при выгрузке с ж.д.</t>
  </si>
  <si>
    <t>Автоматическое создание АОФ после внесения повреждений тальманом</t>
  </si>
  <si>
    <t>Фиксация годности/брака платформ в СОЛВО</t>
  </si>
  <si>
    <t>Фиксация годности/брака платформ и блок погрузки бракованных платформ</t>
  </si>
  <si>
    <t>4SC-RQ-CR-973 #3983805</t>
  </si>
  <si>
    <t>Права на изменение типа тамож. документа в ЖД накладных</t>
  </si>
  <si>
    <t>Возможность изменить тип таможенного документа (ГТД, ВТТ) сотрудниками ЖД группы</t>
  </si>
  <si>
    <t>4SC-RQ-CR-996 #3735739</t>
  </si>
  <si>
    <t>ЖДН — АС ЭТРАН: добавить поле ID накладной</t>
  </si>
  <si>
    <t>Добавить поле ID накладной при загрузке ЖДН для исключения ошибки дублирования</t>
  </si>
  <si>
    <t>4SC-RQ-CR-958 #3959534</t>
  </si>
  <si>
    <t>Корректировка номера документа в Инструкции на погрузку ГУ 12</t>
  </si>
  <si>
    <t>Возможность изменить номер документа до момента отправки разнарядки</t>
  </si>
  <si>
    <t>4SC-RQ-CR-1012 #4077382</t>
  </si>
  <si>
    <t>Корректировка договора в ГУ-12</t>
  </si>
  <si>
    <t>При редактировании ГУ12 активировать поле «Договор» для редактирования</t>
  </si>
  <si>
    <t>4SC-RQ-CR-1014 #4079341</t>
  </si>
  <si>
    <t>ГУ-12 создать по образцу в ЛКК</t>
  </si>
  <si>
    <t>Добавить функцию «создать по образцу» при создании ГУ12 для нескольких отправок</t>
  </si>
  <si>
    <t>НАСТРОЙКИ И ПАРАМЕТРЫ</t>
  </si>
  <si>
    <t>Описание</t>
  </si>
  <si>
    <t>Значение</t>
  </si>
  <si>
    <t>Комментарий</t>
  </si>
  <si>
    <t>Год планирования</t>
  </si>
  <si>
    <t>Обновлено</t>
  </si>
  <si>
    <t>19.05.2026</t>
  </si>
  <si>
    <t>Дата последнего обновления реестра</t>
  </si>
  <si>
    <t>Ответственный</t>
  </si>
  <si>
    <t>Замятин С.А.</t>
  </si>
  <si>
    <t>Высокий</t>
  </si>
  <si>
    <t>Новое</t>
  </si>
  <si>
    <t>На согласовании</t>
  </si>
  <si>
    <t>Согласовано</t>
  </si>
  <si>
    <t>Ошибка</t>
  </si>
  <si>
    <t>Отменено</t>
  </si>
  <si>
    <t>Закрыто</t>
  </si>
  <si>
    <t>Кол-во задач</t>
  </si>
  <si>
    <t>4SC-RQ-CR-859 #3985850</t>
  </si>
  <si>
    <t>4SC-1-RQ-CR-794 #3307598</t>
  </si>
  <si>
    <t>4SC-RQ-CR-902 #3782827</t>
  </si>
  <si>
    <t>4SC-RQ-CR-812 #3333318</t>
  </si>
  <si>
    <t>Н/Д</t>
  </si>
  <si>
    <t>#3895614</t>
  </si>
  <si>
    <t>Выставлено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</si>
</sst>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204"/>
    </font>
    <font>
      <i/>
      <sz val="9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111827"/>
      <name val="Arial"/>
      <family val="2"/>
      <charset val="204"/>
    </font>
    <font>
      <sz val="8"/>
      <color rgb="FF2563EB"/>
      <name val="Arial"/>
      <family val="2"/>
      <charset val="204"/>
    </font>
    <font>
      <sz val="10"/>
      <color rgb="FF111827"/>
      <name val="Arial"/>
      <family val="2"/>
      <charset val="204"/>
    </font>
    <font>
      <b/>
      <sz val="10"/>
      <color rgb="FF0F766E"/>
      <name val="Arial"/>
      <family val="2"/>
      <charset val="204"/>
    </font>
    <font>
      <b/>
      <sz val="10"/>
      <color rgb="FF1B2A4A"/>
      <name val="Arial"/>
      <family val="2"/>
      <charset val="204"/>
    </font>
    <font>
      <sz val="9"/>
      <color rgb="FF6B7280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1"/>
      <name val="Arial"/>
      <family val="2"/>
      <charset val="204"/>
    </font>
    <font>
      <b/>
      <sz val="15"/>
      <color rgb="FFFFFFFF"/>
      <name val="Arial"/>
      <family val="2"/>
      <charset val="204"/>
    </font>
    <font>
      <b/>
      <sz val="18"/>
      <color rgb="FF2563EB"/>
      <name val="Arial"/>
      <family val="2"/>
      <charset val="204"/>
    </font>
    <font>
      <b/>
      <sz val="18"/>
      <color rgb="FF16A34A"/>
      <name val="Arial"/>
      <family val="2"/>
      <charset val="204"/>
    </font>
    <font>
      <b/>
      <sz val="18"/>
      <color rgb="FFD97706"/>
      <name val="Arial"/>
      <family val="2"/>
      <charset val="204"/>
    </font>
    <font>
      <b/>
      <sz val="18"/>
      <color rgb="FF0F766E"/>
      <name val="Arial"/>
      <family val="2"/>
      <charset val="204"/>
    </font>
    <font>
      <b/>
      <sz val="18"/>
      <color rgb="FF7C3AED"/>
      <name val="Arial"/>
      <family val="2"/>
      <charset val="204"/>
    </font>
    <font>
      <b/>
      <sz val="9"/>
      <color rgb="FF111827"/>
      <name val="Arial"/>
      <family val="2"/>
      <charset val="204"/>
    </font>
    <font>
      <b/>
      <sz val="9"/>
      <color rgb="FF16A34A"/>
      <name val="Arial"/>
      <family val="2"/>
      <charset val="204"/>
    </font>
    <font>
      <b/>
      <sz val="11"/>
      <color rgb="FF111827"/>
      <name val="Arial"/>
      <family val="2"/>
      <charset val="204"/>
    </font>
    <font>
      <b/>
      <sz val="9"/>
      <color rgb="FF0F766E"/>
      <name val="Arial"/>
      <family val="2"/>
      <charset val="204"/>
    </font>
    <font>
      <b/>
      <sz val="9"/>
      <color rgb="FF2563EB"/>
      <name val="Arial"/>
      <family val="2"/>
      <charset val="204"/>
    </font>
    <font>
      <b/>
      <sz val="9"/>
      <color rgb="FFD97706"/>
      <name val="Arial"/>
      <family val="2"/>
      <charset val="204"/>
    </font>
    <font>
      <b/>
      <sz val="9"/>
      <color rgb="FF7C3AED"/>
      <name val="Arial"/>
      <family val="2"/>
      <charset val="204"/>
    </font>
    <font>
      <b/>
      <sz val="9"/>
      <color rgb="FFEA580C"/>
      <name val="Arial"/>
      <family val="2"/>
      <charset val="204"/>
    </font>
    <font>
      <b/>
      <sz val="9"/>
      <color rgb="FF6B7280"/>
      <name val="Arial"/>
      <family val="2"/>
      <charset val="204"/>
    </font>
    <font>
      <i/>
      <sz val="9"/>
      <color rgb="FF2563EB"/>
      <name val="Arial"/>
      <family val="2"/>
      <charset val="204"/>
    </font>
    <font>
      <b/>
      <sz val="13"/>
      <color rgb="FFFFFFFF"/>
      <name val="Arial"/>
      <family val="2"/>
      <charset val="204"/>
    </font>
    <font>
      <i/>
      <sz val="9"/>
      <color rgb="FF16A34A"/>
      <name val="Arial"/>
      <family val="2"/>
      <charset val="204"/>
    </font>
    <font>
      <i/>
      <sz val="8"/>
      <color rgb="FF6B7280"/>
      <name val="Arial"/>
      <family val="2"/>
      <charset val="204"/>
    </font>
    <font>
      <b/>
      <sz val="14"/>
      <color rgb="FF1B2A4A"/>
      <name val="Arial"/>
      <family val="2"/>
      <charset val="204"/>
    </font>
    <font>
      <b/>
      <sz val="14"/>
      <color rgb="FF16A34A"/>
      <name val="Arial"/>
      <family val="2"/>
      <charset val="204"/>
    </font>
    <font>
      <b/>
      <sz val="14"/>
      <color rgb="FFD97706"/>
      <name val="Arial"/>
      <family val="2"/>
      <charset val="204"/>
    </font>
    <font>
      <b/>
      <sz val="14"/>
      <color rgb="FF0F766E"/>
      <name val="Arial"/>
      <family val="2"/>
      <charset val="204"/>
    </font>
    <font>
      <b/>
      <sz val="14"/>
      <color rgb="FF7C3AED"/>
      <name val="Arial"/>
      <family val="2"/>
      <charset val="204"/>
    </font>
    <font>
      <sz val="9"/>
      <color rgb="FF374151"/>
      <name val="Arial"/>
      <family val="2"/>
      <charset val="204"/>
    </font>
    <font>
      <sz val="9"/>
      <color rgb="FF111827"/>
      <name val="Arial"/>
      <family val="2"/>
      <charset val="204"/>
    </font>
    <font>
      <b/>
      <sz val="10"/>
      <color rgb="FF16A34A"/>
      <name val="Arial"/>
      <family val="2"/>
      <charset val="204"/>
    </font>
    <font>
      <i/>
      <sz val="9"/>
      <color rgb="FF6B7280"/>
      <name val="Arial"/>
      <family val="2"/>
      <charset val="204"/>
    </font>
    <font>
      <b/>
      <sz val="10"/>
      <color rgb="FFDC2626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i/>
      <sz val="9"/>
      <color rgb="FF6B7280"/>
      <name val="Arial"/>
      <family val="2"/>
      <charset val="204"/>
    </font>
    <font>
      <b/>
      <i/>
      <sz val="11"/>
      <color rgb="FF111827"/>
      <name val="Arial"/>
      <family val="2"/>
      <charset val="204"/>
    </font>
    <font>
      <i/>
      <sz val="9"/>
      <color rgb="FF6B7280"/>
      <name val="Arial"/>
      <family val="2"/>
      <charset val="204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1B2A4A"/>
        <bgColor rgb="FF1E3A5F"/>
      </patternFill>
    </fill>
    <fill>
      <patternFill patternType="solid">
        <fgColor rgb="FF1E3A5F"/>
        <bgColor rgb="FF334155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E5E7EB"/>
      </patternFill>
    </fill>
    <fill>
      <patternFill patternType="solid">
        <fgColor rgb="FFDCFCE7"/>
        <bgColor rgb="FFCCFBF1"/>
      </patternFill>
    </fill>
    <fill>
      <patternFill patternType="solid">
        <fgColor rgb="FFFEF3C7"/>
        <bgColor rgb="FFFEF9C3"/>
      </patternFill>
    </fill>
    <fill>
      <patternFill patternType="solid">
        <fgColor rgb="FFCCFBF1"/>
        <bgColor rgb="FFDCFCE7"/>
      </patternFill>
    </fill>
    <fill>
      <patternFill patternType="solid">
        <fgColor rgb="FFEDE9FE"/>
        <bgColor rgb="FFE5E7EB"/>
      </patternFill>
    </fill>
    <fill>
      <patternFill patternType="solid">
        <fgColor rgb="FFFFEDD5"/>
        <bgColor rgb="FFFEF3C7"/>
      </patternFill>
    </fill>
    <fill>
      <patternFill patternType="solid">
        <fgColor rgb="FFF3F4F6"/>
        <bgColor rgb="FFF8FAFC"/>
      </patternFill>
    </fill>
    <fill>
      <patternFill patternType="solid">
        <fgColor rgb="FFF0FDF4"/>
        <bgColor rgb="FFF8FAFC"/>
      </patternFill>
    </fill>
    <fill>
      <patternFill patternType="solid">
        <fgColor theme="6" tint="0.39997558519241921"/>
        <bgColor rgb="FFF8FAF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499984740745262"/>
        <bgColor rgb="FF008080"/>
      </patternFill>
    </fill>
    <fill>
      <patternFill patternType="solid">
        <fgColor theme="3" tint="-0.499984740745262"/>
        <bgColor rgb="FF993366"/>
      </patternFill>
    </fill>
    <fill>
      <patternFill patternType="solid">
        <fgColor theme="3" tint="-0.499984740745262"/>
        <bgColor rgb="FFEA580C"/>
      </patternFill>
    </fill>
    <fill>
      <patternFill patternType="solid">
        <fgColor theme="3" tint="-0.499984740745262"/>
        <bgColor rgb="FFD97706"/>
      </patternFill>
    </fill>
    <fill>
      <patternFill patternType="solid">
        <fgColor theme="0"/>
        <bgColor rgb="FFF8FAFC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334155"/>
      </left>
      <right/>
      <top style="thin">
        <color rgb="FF334155"/>
      </top>
      <bottom style="thin">
        <color rgb="FF334155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2">
    <xf numFmtId="0" fontId="0" fillId="0" borderId="0"/>
    <xf numFmtId="43" fontId="45" fillId="0" borderId="0" applyFont="0" applyFill="0" applyBorder="0" applyAlignment="0" applyProtection="0"/>
  </cellStyleXfs>
  <cellXfs count="1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6" borderId="0" xfId="0" applyFont="1" applyFill="1"/>
    <xf numFmtId="0" fontId="11" fillId="0" borderId="0" xfId="0" applyFont="1"/>
    <xf numFmtId="0" fontId="9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9" fontId="17" fillId="11" borderId="2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9" fontId="7" fillId="4" borderId="2" xfId="0" applyNumberFormat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9" fontId="7" fillId="5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10" borderId="2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left" vertical="center"/>
    </xf>
    <xf numFmtId="0" fontId="23" fillId="9" borderId="2" xfId="0" applyFont="1" applyFill="1" applyBorder="1" applyAlignment="1">
      <alignment horizontal="left" vertical="center"/>
    </xf>
    <xf numFmtId="0" fontId="24" fillId="11" borderId="2" xfId="0" applyFont="1" applyFill="1" applyBorder="1" applyAlignment="1">
      <alignment horizontal="left" vertical="center"/>
    </xf>
    <xf numFmtId="0" fontId="25" fillId="12" borderId="2" xfId="0" applyFont="1" applyFill="1" applyBorder="1" applyAlignment="1">
      <alignment horizontal="left" vertical="center"/>
    </xf>
    <xf numFmtId="0" fontId="26" fillId="13" borderId="2" xfId="0" applyFont="1" applyFill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0" fillId="5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9" fontId="35" fillId="11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36" fillId="4" borderId="2" xfId="0" applyFont="1" applyFill="1" applyBorder="1" applyAlignment="1">
      <alignment horizontal="left" vertical="center" wrapText="1"/>
    </xf>
    <xf numFmtId="0" fontId="37" fillId="4" borderId="2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36" fillId="5" borderId="2" xfId="0" applyFont="1" applyFill="1" applyBorder="1" applyAlignment="1">
      <alignment horizontal="left" vertical="center" wrapText="1"/>
    </xf>
    <xf numFmtId="0" fontId="37" fillId="5" borderId="2" xfId="0" applyFont="1" applyFill="1" applyBorder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left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26" fillId="13" borderId="4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9" fontId="9" fillId="0" borderId="4" xfId="0" applyNumberFormat="1" applyFont="1" applyBorder="1" applyAlignment="1">
      <alignment horizontal="center" vertical="center"/>
    </xf>
    <xf numFmtId="0" fontId="42" fillId="15" borderId="4" xfId="0" applyFont="1" applyFill="1" applyBorder="1" applyAlignment="1">
      <alignment horizontal="center" vertical="center"/>
    </xf>
    <xf numFmtId="0" fontId="43" fillId="16" borderId="4" xfId="0" applyFont="1" applyFill="1" applyBorder="1" applyAlignment="1">
      <alignment horizontal="center" vertical="center"/>
    </xf>
    <xf numFmtId="9" fontId="44" fillId="16" borderId="4" xfId="0" applyNumberFormat="1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/>
    <xf numFmtId="0" fontId="3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/>
    <xf numFmtId="0" fontId="3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/>
    <xf numFmtId="0" fontId="3" fillId="20" borderId="1" xfId="0" applyFont="1" applyFill="1" applyBorder="1" applyAlignment="1">
      <alignment horizontal="center" vertical="center" wrapText="1"/>
    </xf>
    <xf numFmtId="0" fontId="11" fillId="20" borderId="1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46" fillId="9" borderId="2" xfId="0" applyFont="1" applyFill="1" applyBorder="1" applyAlignment="1">
      <alignment horizontal="center" vertical="center" wrapText="1"/>
    </xf>
    <xf numFmtId="0" fontId="46" fillId="7" borderId="2" xfId="0" applyFont="1" applyFill="1" applyBorder="1" applyAlignment="1">
      <alignment horizontal="center" vertical="center" wrapText="1"/>
    </xf>
    <xf numFmtId="0" fontId="46" fillId="10" borderId="2" xfId="0" applyFont="1" applyFill="1" applyBorder="1" applyAlignment="1">
      <alignment horizontal="center" vertical="center" wrapText="1"/>
    </xf>
    <xf numFmtId="0" fontId="46" fillId="8" borderId="2" xfId="0" applyFont="1" applyFill="1" applyBorder="1" applyAlignment="1">
      <alignment horizontal="center" vertical="center" wrapText="1"/>
    </xf>
    <xf numFmtId="0" fontId="46" fillId="13" borderId="2" xfId="0" applyFont="1" applyFill="1" applyBorder="1" applyAlignment="1">
      <alignment horizontal="center" vertical="center" wrapText="1"/>
    </xf>
    <xf numFmtId="0" fontId="46" fillId="11" borderId="2" xfId="0" applyFont="1" applyFill="1" applyBorder="1" applyAlignment="1">
      <alignment horizontal="center" vertical="center" wrapText="1"/>
    </xf>
    <xf numFmtId="0" fontId="46" fillId="12" borderId="2" xfId="0" applyFont="1" applyFill="1" applyBorder="1" applyAlignment="1">
      <alignment horizontal="center" vertical="center" wrapText="1"/>
    </xf>
    <xf numFmtId="164" fontId="16" fillId="10" borderId="2" xfId="1" applyNumberFormat="1" applyFont="1" applyFill="1" applyBorder="1" applyAlignment="1">
      <alignment horizontal="center" vertical="center"/>
    </xf>
    <xf numFmtId="164" fontId="43" fillId="16" borderId="4" xfId="1" applyNumberFormat="1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164" fontId="9" fillId="0" borderId="2" xfId="1" applyNumberFormat="1" applyFont="1" applyBorder="1" applyAlignment="1">
      <alignment horizontal="center" vertical="center"/>
    </xf>
    <xf numFmtId="164" fontId="10" fillId="19" borderId="1" xfId="1" applyNumberFormat="1" applyFont="1" applyFill="1" applyBorder="1" applyAlignment="1">
      <alignment horizontal="center" vertical="center"/>
    </xf>
    <xf numFmtId="164" fontId="10" fillId="17" borderId="1" xfId="1" applyNumberFormat="1" applyFont="1" applyFill="1" applyBorder="1" applyAlignment="1">
      <alignment horizontal="center" vertical="center"/>
    </xf>
    <xf numFmtId="164" fontId="10" fillId="18" borderId="1" xfId="1" applyNumberFormat="1" applyFont="1" applyFill="1" applyBorder="1" applyAlignment="1">
      <alignment horizontal="center" vertical="center"/>
    </xf>
    <xf numFmtId="164" fontId="10" fillId="20" borderId="1" xfId="1" applyNumberFormat="1" applyFont="1" applyFill="1" applyBorder="1" applyAlignment="1">
      <alignment horizontal="center" vertical="center"/>
    </xf>
    <xf numFmtId="164" fontId="34" fillId="10" borderId="2" xfId="1" applyNumberFormat="1" applyFont="1" applyFill="1" applyBorder="1" applyAlignment="1">
      <alignment horizontal="center" vertical="center"/>
    </xf>
    <xf numFmtId="164" fontId="6" fillId="4" borderId="2" xfId="1" applyNumberFormat="1" applyFont="1" applyFill="1" applyBorder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left" vertical="center" wrapText="1"/>
    </xf>
    <xf numFmtId="0" fontId="4" fillId="21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horizontal="left" vertical="center" wrapText="1"/>
    </xf>
    <xf numFmtId="0" fontId="4" fillId="21" borderId="2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3" fillId="3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right" vertical="center"/>
    </xf>
    <xf numFmtId="0" fontId="28" fillId="17" borderId="0" xfId="0" applyFont="1" applyFill="1" applyAlignment="1">
      <alignment horizontal="center" vertical="center"/>
    </xf>
    <xf numFmtId="0" fontId="3" fillId="18" borderId="1" xfId="0" applyFont="1" applyFill="1" applyBorder="1" applyAlignment="1">
      <alignment horizontal="right" vertical="center"/>
    </xf>
    <xf numFmtId="0" fontId="28" fillId="18" borderId="0" xfId="0" applyFont="1" applyFill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0" fontId="3" fillId="19" borderId="1" xfId="0" applyFont="1" applyFill="1" applyBorder="1" applyAlignment="1">
      <alignment horizontal="right" vertical="center"/>
    </xf>
    <xf numFmtId="0" fontId="3" fillId="20" borderId="1" xfId="0" applyFont="1" applyFill="1" applyBorder="1" applyAlignment="1">
      <alignment horizontal="right" vertical="center"/>
    </xf>
    <xf numFmtId="0" fontId="28" fillId="20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82"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5E7EB"/>
      <rgbColor rgb="FF808080"/>
      <rgbColor rgb="FF9999FF"/>
      <rgbColor rgb="FF7C3AED"/>
      <rgbColor rgb="FFFEF9C3"/>
      <rgbColor rgb="FFCCFBF1"/>
      <rgbColor rgb="FF660066"/>
      <rgbColor rgb="FFFF8080"/>
      <rgbColor rgb="FF0066CC"/>
      <rgbColor rgb="FFDBEA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0FDF4"/>
      <rgbColor rgb="FFFEF3C7"/>
      <rgbColor rgb="FFEDE9FE"/>
      <rgbColor rgb="FFFFEDD5"/>
      <rgbColor rgb="FFF3F4F6"/>
      <rgbColor rgb="FFFEE2E2"/>
      <rgbColor rgb="FF2563EB"/>
      <rgbColor rgb="FF33CCCC"/>
      <rgbColor rgb="FF99CC00"/>
      <rgbColor rgb="FFFFCC00"/>
      <rgbColor rgb="FFD97706"/>
      <rgbColor rgb="FFEA580C"/>
      <rgbColor rgb="FF6B7280"/>
      <rgbColor rgb="FF969696"/>
      <rgbColor rgb="FF1E3A5F"/>
      <rgbColor rgb="FF16A34A"/>
      <rgbColor rgb="FF111827"/>
      <rgbColor rgb="FF1B2A4A"/>
      <rgbColor rgb="FF993300"/>
      <rgbColor rgb="FF993366"/>
      <rgbColor rgb="FF33415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I30"/>
  <sheetViews>
    <sheetView showGridLines="0" zoomScaleNormal="100" workbookViewId="0">
      <selection activeCell="F24" sqref="F24"/>
    </sheetView>
  </sheetViews>
  <sheetFormatPr defaultColWidth="8.6640625" defaultRowHeight="14.4" x14ac:dyDescent="0.3"/>
  <cols>
    <col min="1" max="1" width="77.77734375" bestFit="1" customWidth="1"/>
    <col min="2" max="2" width="10.109375" bestFit="1" customWidth="1"/>
    <col min="3" max="3" width="11.6640625" bestFit="1" customWidth="1"/>
    <col min="4" max="4" width="16.88671875" bestFit="1" customWidth="1"/>
    <col min="5" max="5" width="21.33203125" bestFit="1" customWidth="1"/>
    <col min="6" max="6" width="18" customWidth="1"/>
    <col min="7" max="7" width="14" customWidth="1"/>
    <col min="8" max="9" width="18" customWidth="1"/>
  </cols>
  <sheetData>
    <row r="1" spans="1:9" ht="36" customHeight="1" x14ac:dyDescent="0.3">
      <c r="A1" s="131" t="s">
        <v>26</v>
      </c>
      <c r="B1" s="123"/>
      <c r="C1" s="123"/>
      <c r="D1" s="123"/>
      <c r="E1" s="123"/>
      <c r="F1" s="123"/>
      <c r="G1" s="123"/>
      <c r="H1" s="123"/>
      <c r="I1" s="123"/>
    </row>
    <row r="2" spans="1:9" ht="6" customHeight="1" x14ac:dyDescent="0.3">
      <c r="A2" s="22"/>
      <c r="B2" s="22"/>
      <c r="C2" s="22"/>
      <c r="D2" s="22"/>
      <c r="E2" s="22"/>
      <c r="F2" s="22"/>
      <c r="G2" s="22"/>
      <c r="H2" s="22"/>
      <c r="I2" s="22"/>
    </row>
    <row r="3" spans="1:9" ht="7.5" customHeight="1" x14ac:dyDescent="0.3">
      <c r="A3" s="23"/>
      <c r="B3" s="23"/>
      <c r="C3" s="23"/>
      <c r="D3" s="23"/>
      <c r="E3" s="23"/>
      <c r="F3" s="23"/>
      <c r="G3" s="23"/>
      <c r="H3" s="23"/>
      <c r="I3" s="23"/>
    </row>
    <row r="4" spans="1:9" ht="19.5" customHeight="1" x14ac:dyDescent="0.3">
      <c r="A4" s="24" t="s">
        <v>27</v>
      </c>
      <c r="B4" s="25" t="s">
        <v>28</v>
      </c>
      <c r="C4" s="26" t="s">
        <v>29</v>
      </c>
      <c r="D4" s="27" t="s">
        <v>30</v>
      </c>
      <c r="E4" s="28" t="s">
        <v>31</v>
      </c>
      <c r="G4" s="23"/>
      <c r="H4" s="23"/>
      <c r="I4" s="23"/>
    </row>
    <row r="5" spans="1:9" ht="33.75" customHeight="1" x14ac:dyDescent="0.3">
      <c r="A5" s="29">
        <f>'Судовые документы'!A4+'Таможенные документы'!A4+'Экспортные грузы'!A4+Терминал!A4+'ЖД грузы'!A4</f>
        <v>43</v>
      </c>
      <c r="B5" s="30">
        <f>'Судовые документы'!B4+'Таможенные документы'!B4+'Экспортные грузы'!B4+Терминал!B4+'ЖД грузы'!B4</f>
        <v>14</v>
      </c>
      <c r="C5" s="31">
        <f>'Судовые документы'!C4+'Таможенные документы'!C4+'Экспортные грузы'!C4+Терминал!C4+'ЖД грузы'!C4</f>
        <v>7</v>
      </c>
      <c r="D5" s="100">
        <f>'Судовые документы'!D4+'Таможенные документы'!D4+'Экспортные грузы'!D4+Терминал!D4+'ЖД грузы'!D4</f>
        <v>3231</v>
      </c>
      <c r="E5" s="32">
        <f>IF(('Судовые документы'!A4+'Таможенные документы'!A4+'Экспортные грузы'!A4+Терминал!A4+'ЖД грузы'!A4)=0,0,('Судовые документы'!B4+'Таможенные документы'!B4+'Экспортные грузы'!B4+Терминал!B4+'ЖД грузы'!B4)/('Судовые документы'!A4+'Таможенные документы'!A4+'Экспортные грузы'!A4+Терминал!A4+'ЖД грузы'!A4))</f>
        <v>0.32558139534883723</v>
      </c>
      <c r="G5" s="23"/>
      <c r="H5" s="23"/>
      <c r="I5" s="23"/>
    </row>
    <row r="6" spans="1:9" ht="13.5" customHeight="1" x14ac:dyDescent="0.3">
      <c r="A6" s="23"/>
      <c r="B6" s="23"/>
      <c r="C6" s="23"/>
      <c r="D6" s="23" t="b">
        <f>IFERROR(D5='📋 Реестр'!I52,"0")</f>
        <v>1</v>
      </c>
      <c r="E6" s="23"/>
      <c r="F6" s="23"/>
      <c r="G6" s="23"/>
      <c r="H6" s="23"/>
      <c r="I6" s="23"/>
    </row>
    <row r="7" spans="1:9" ht="24" customHeight="1" x14ac:dyDescent="0.3">
      <c r="A7" s="1" t="s">
        <v>32</v>
      </c>
      <c r="B7" s="1" t="s">
        <v>33</v>
      </c>
      <c r="C7" s="1" t="s">
        <v>28</v>
      </c>
      <c r="D7" s="1" t="s">
        <v>29</v>
      </c>
      <c r="E7" s="1" t="s">
        <v>10</v>
      </c>
      <c r="F7" s="1" t="s">
        <v>34</v>
      </c>
      <c r="H7" s="23"/>
      <c r="I7" s="23"/>
    </row>
    <row r="8" spans="1:9" ht="21.75" customHeight="1" x14ac:dyDescent="0.3">
      <c r="A8" s="33" t="s">
        <v>16</v>
      </c>
      <c r="B8" s="34">
        <f>'Судовые документы'!A4</f>
        <v>7</v>
      </c>
      <c r="C8" s="34">
        <f>'Судовые документы'!B4</f>
        <v>2</v>
      </c>
      <c r="D8" s="34">
        <f>'Судовые документы'!C4</f>
        <v>3</v>
      </c>
      <c r="E8" s="109">
        <f>'Судовые документы'!D4</f>
        <v>513</v>
      </c>
      <c r="F8" s="35">
        <f>IF('Судовые документы'!A4=0,0,'Судовые документы'!B4/'Судовые документы'!A4)</f>
        <v>0.2857142857142857</v>
      </c>
      <c r="H8" s="23"/>
      <c r="I8" s="23"/>
    </row>
    <row r="9" spans="1:9" ht="21.75" customHeight="1" x14ac:dyDescent="0.3">
      <c r="A9" s="36" t="s">
        <v>18</v>
      </c>
      <c r="B9" s="37">
        <f>'Таможенные документы'!A4</f>
        <v>5</v>
      </c>
      <c r="C9" s="37">
        <f>'Таможенные документы'!B4</f>
        <v>1</v>
      </c>
      <c r="D9" s="37">
        <f>'Таможенные документы'!C4</f>
        <v>0</v>
      </c>
      <c r="E9" s="110">
        <f>'Таможенные документы'!D4</f>
        <v>780</v>
      </c>
      <c r="F9" s="38">
        <f>IF('Таможенные документы'!A4=0,0,'Таможенные документы'!B4/'Таможенные документы'!A4)</f>
        <v>0.2</v>
      </c>
      <c r="H9" s="23"/>
      <c r="I9" s="23"/>
    </row>
    <row r="10" spans="1:9" ht="21.75" customHeight="1" x14ac:dyDescent="0.3">
      <c r="A10" s="33" t="s">
        <v>20</v>
      </c>
      <c r="B10" s="34">
        <f>'Экспортные грузы'!A4</f>
        <v>5</v>
      </c>
      <c r="C10" s="34">
        <f>'Экспортные грузы'!B4</f>
        <v>2</v>
      </c>
      <c r="D10" s="34">
        <f>'Экспортные грузы'!C4</f>
        <v>1</v>
      </c>
      <c r="E10" s="109">
        <f>'Экспортные грузы'!D4</f>
        <v>532</v>
      </c>
      <c r="F10" s="35">
        <f>IF('Экспортные грузы'!A4=0,0,'Экспортные грузы'!B4/'Экспортные грузы'!A4)</f>
        <v>0.4</v>
      </c>
      <c r="H10" s="23"/>
      <c r="I10" s="23"/>
    </row>
    <row r="11" spans="1:9" ht="21.75" customHeight="1" x14ac:dyDescent="0.3">
      <c r="A11" s="36" t="s">
        <v>22</v>
      </c>
      <c r="B11" s="37">
        <f>Терминал!A4</f>
        <v>16</v>
      </c>
      <c r="C11" s="37">
        <f>Терминал!B4</f>
        <v>8</v>
      </c>
      <c r="D11" s="37">
        <f>Терминал!C4</f>
        <v>2</v>
      </c>
      <c r="E11" s="110">
        <f>Терминал!D4</f>
        <v>1231</v>
      </c>
      <c r="F11" s="38">
        <f>IF(Терминал!A4=0,0,Терминал!B4/Терминал!A4)</f>
        <v>0.5</v>
      </c>
      <c r="H11" s="23"/>
      <c r="I11" s="23"/>
    </row>
    <row r="12" spans="1:9" ht="21.75" customHeight="1" x14ac:dyDescent="0.3">
      <c r="A12" s="33" t="s">
        <v>24</v>
      </c>
      <c r="B12" s="34">
        <f>'ЖД грузы'!A4</f>
        <v>10</v>
      </c>
      <c r="C12" s="34">
        <f>'ЖД грузы'!B4</f>
        <v>1</v>
      </c>
      <c r="D12" s="34">
        <f>'ЖД грузы'!C4</f>
        <v>1</v>
      </c>
      <c r="E12" s="109">
        <f>'ЖД грузы'!D4</f>
        <v>175</v>
      </c>
      <c r="F12" s="35">
        <f>IF('ЖД грузы'!A4=0,0,'ЖД грузы'!B4/'ЖД грузы'!A4)</f>
        <v>0.1</v>
      </c>
      <c r="H12" s="23"/>
      <c r="I12" s="23"/>
    </row>
    <row r="13" spans="1:9" ht="24" customHeight="1" x14ac:dyDescent="0.3">
      <c r="A13" s="2" t="s">
        <v>35</v>
      </c>
      <c r="B13" s="39">
        <f>SUM(B8:B12)</f>
        <v>43</v>
      </c>
      <c r="C13" s="39">
        <f>SUM(C8:C12)</f>
        <v>14</v>
      </c>
      <c r="D13" s="39">
        <f>SUM(D8:D12)</f>
        <v>7</v>
      </c>
      <c r="E13" s="111">
        <f>SUM(E8:E12)</f>
        <v>3231</v>
      </c>
      <c r="F13" s="40">
        <f>IF(B13=0,0,C13/B13)</f>
        <v>0.32558139534883723</v>
      </c>
      <c r="H13" s="23"/>
      <c r="I13" s="23"/>
    </row>
    <row r="14" spans="1:9" ht="21.7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24" customHeight="1" x14ac:dyDescent="0.3">
      <c r="A15" s="132" t="s">
        <v>36</v>
      </c>
      <c r="B15" s="128"/>
      <c r="C15" s="128"/>
      <c r="D15" s="23"/>
      <c r="E15" s="132" t="s">
        <v>37</v>
      </c>
      <c r="F15" s="128"/>
      <c r="G15" s="128"/>
      <c r="H15" s="23"/>
      <c r="I15" s="23"/>
    </row>
    <row r="16" spans="1:9" ht="19.5" customHeight="1" x14ac:dyDescent="0.3">
      <c r="A16" s="41" t="s">
        <v>38</v>
      </c>
      <c r="B16" s="42">
        <f>COUNTIF('Судовые документы'!G6:G12,"Установлено")+COUNTIF('Таможенные документы'!G6:G10,"Установлено")+COUNTIF('Экспортные грузы'!G6:G10,"Установлено")+COUNTIF(Терминал!G6:G21,"Установлено")+COUNTIF('ЖД грузы'!G6:G15,"Установлено")</f>
        <v>12</v>
      </c>
      <c r="C16" s="43">
        <f>IF(('Судовые документы'!A4+'Таможенные документы'!A4+'Экспортные грузы'!A4+Терминал!A4+'ЖД грузы'!A4)=0,0,B16/('Судовые документы'!A4+'Таможенные документы'!A4+'Экспортные грузы'!A4+Терминал!A4+'ЖД грузы'!A4))</f>
        <v>0.27906976744186046</v>
      </c>
      <c r="D16" s="23"/>
      <c r="E16" s="92" t="s">
        <v>9</v>
      </c>
      <c r="F16" s="92" t="s">
        <v>208</v>
      </c>
      <c r="G16" s="92" t="s">
        <v>10</v>
      </c>
      <c r="H16" s="23"/>
      <c r="I16" s="23"/>
    </row>
    <row r="17" spans="1:9" ht="19.5" customHeight="1" x14ac:dyDescent="0.3">
      <c r="A17" s="45" t="s">
        <v>40</v>
      </c>
      <c r="B17" s="42">
        <f>COUNTIF('Судовые документы'!G6:G12,"ОПЭ")+COUNTIF('Таможенные документы'!G6:G10,"ОПЭ")+COUNTIF('Экспортные грузы'!G6:G10,"ОПЭ")+COUNTIF(Терминал!G6:G21,"ОПЭ")+COUNTIF('ЖД грузы'!G6:G15,"ОПЭ")</f>
        <v>0</v>
      </c>
      <c r="C17" s="43">
        <f>IF(('Судовые документы'!A4+'Таможенные документы'!A4+'Экспортные грузы'!A4+Терминал!A4+'ЖД грузы'!A4)=0,0,B17/('Судовые документы'!A4+'Таможенные документы'!A4+'Экспортные грузы'!A4+Терминал!A4+'ЖД грузы'!A4))</f>
        <v>0</v>
      </c>
      <c r="D17" s="23"/>
      <c r="E17" s="44" t="s">
        <v>39</v>
      </c>
      <c r="F17" s="42">
        <f>COUNTIF('Судовые документы'!H6:H12,"7.4.4")+COUNTIF('Таможенные документы'!H6:H10,"7.4.4")+COUNTIF('Экспортные грузы'!H6:H10,"7.4.4")+COUNTIF(Терминал!H6:H21,"7.4.4")+COUNTIF('ЖД грузы'!H6:H15,"7.4.4")</f>
        <v>1</v>
      </c>
      <c r="G17" s="103">
        <f>SUMIF('Судовые документы'!H6:H12,"7.4.4",'Судовые документы'!I6:I12)+SUMIF('Таможенные документы'!H6:H10,"7.4.4",'Таможенные документы'!I6:I10)+SUMIF('Экспортные грузы'!H6:H10,"7.4.4",'Экспортные грузы'!I6:I10)+SUMIF(Терминал!H6:H21,"7.4.4",Терминал!I6:I21)+SUMIF('ЖД грузы'!H6:H15,"7.4.4",'ЖД грузы'!I6:I15)</f>
        <v>780</v>
      </c>
      <c r="H17" s="23"/>
      <c r="I17" s="23"/>
    </row>
    <row r="18" spans="1:9" ht="19.5" customHeight="1" x14ac:dyDescent="0.3">
      <c r="A18" s="46" t="s">
        <v>42</v>
      </c>
      <c r="B18" s="42">
        <f>COUNTIF('Судовые документы'!G6:G12,"Тестирование")+COUNTIF('Таможенные документы'!G6:G10,"Тестирование")+COUNTIF('Экспортные грузы'!G6:G10,"Тестирование")+COUNTIF(Терминал!G6:G21,"Тестирование")+COUNTIF('ЖД грузы'!G6:G15,"Тестирование")</f>
        <v>6</v>
      </c>
      <c r="C18" s="43">
        <f>IF(('Судовые документы'!A4+'Таможенные документы'!A4+'Экспортные грузы'!A4+Терминал!A4+'ЖД грузы'!A4)=0,0,B18/('Судовые документы'!A4+'Таможенные документы'!A4+'Экспортные грузы'!A4+Терминал!A4+'ЖД грузы'!A4))</f>
        <v>0.13953488372093023</v>
      </c>
      <c r="D18" s="23"/>
      <c r="E18" s="44" t="s">
        <v>41</v>
      </c>
      <c r="F18" s="42">
        <f>COUNTIF('Судовые документы'!H6:H12,"7.4.5")+COUNTIF('Таможенные документы'!H6:H10,"7.4.5")+COUNTIF('Экспортные грузы'!H6:H10,"7.4.5")+COUNTIF(Терминал!H6:H21,"7.4.5")+COUNTIF('ЖД грузы'!H6:H15,"7.4.5")</f>
        <v>2</v>
      </c>
      <c r="G18" s="103">
        <f>SUMIF('Судовые документы'!H6:H12,"7.4.5",'Судовые документы'!I6:I12)+SUMIF('Таможенные документы'!H6:H10,"7.4.5",'Таможенные документы'!I6:I10)+SUMIF('Экспортные грузы'!H6:H10,"7.4.5",'Экспортные грузы'!I6:I10)+SUMIF(Терминал!H6:H21,"7.4.5",Терминал!I6:I21)+SUMIF('ЖД грузы'!H6:H15,"7.4.5",'ЖД грузы'!I6:I15)</f>
        <v>110</v>
      </c>
      <c r="H18" s="23"/>
      <c r="I18" s="23"/>
    </row>
    <row r="19" spans="1:9" ht="19.5" customHeight="1" x14ac:dyDescent="0.3">
      <c r="A19" s="47" t="s">
        <v>29</v>
      </c>
      <c r="B19" s="42">
        <f>COUNTIF('Судовые документы'!G6:G12,"В работе")+COUNTIF('Таможенные документы'!G6:G10,"В работе")+COUNTIF('Экспортные грузы'!G6:G10,"В работе")+COUNTIF(Терминал!G6:G21,"В работе")+COUNTIF('ЖД грузы'!G6:G15,"В работе")</f>
        <v>0</v>
      </c>
      <c r="C19" s="43">
        <f>IF(('Судовые документы'!A4+'Таможенные документы'!A4+'Экспортные грузы'!A4+Терминал!A4+'ЖД грузы'!A4)=0,0,B19/('Судовые документы'!A4+'Таможенные документы'!A4+'Экспортные грузы'!A4+Терминал!A4+'ЖД грузы'!A4))</f>
        <v>0</v>
      </c>
      <c r="D19" s="23"/>
      <c r="E19" s="44" t="s">
        <v>43</v>
      </c>
      <c r="F19" s="42">
        <f>COUNTIF('Судовые документы'!H6:H12,"7.4.7")+COUNTIF('Таможенные документы'!H6:H10,"7.4.7")+COUNTIF('Экспортные грузы'!H6:H10,"7.4.7")+COUNTIF(Терминал!H6:H21,"7.4.7")+COUNTIF('ЖД грузы'!H6:H15,"7.4.7")</f>
        <v>3</v>
      </c>
      <c r="G19" s="103">
        <f>SUMIF('Судовые документы'!H6:H12,"7.4.7",'Судовые документы'!I6:I12)+SUMIF('Таможенные документы'!H6:H10,"7.4.7",'Таможенные документы'!I6:I10)+SUMIF('Экспортные грузы'!H6:H10,"7.4.7",'Экспортные грузы'!I6:I10)+SUMIF(Терминал!H6:H21,"7.4.7",Терминал!I6:I21)+SUMIF('ЖД грузы'!H6:H15,"7.4.7",'ЖД грузы'!I6:I15)</f>
        <v>220</v>
      </c>
      <c r="H19" s="23"/>
      <c r="I19" s="23"/>
    </row>
    <row r="20" spans="1:9" ht="19.5" customHeight="1" x14ac:dyDescent="0.3">
      <c r="A20" s="47" t="s">
        <v>45</v>
      </c>
      <c r="B20" s="42">
        <f>COUNTIF('Судовые документы'!G6:G12,"Разработка")+COUNTIF('Таможенные документы'!G6:G10,"Разработка")+COUNTIF('Экспортные грузы'!G6:G10,"Разработка")+COUNTIF(Терминал!G6:G21,"Разработка")+COUNTIF('ЖД грузы'!G6:G15,"Разработка")</f>
        <v>1</v>
      </c>
      <c r="C20" s="43">
        <f>IF(('Судовые документы'!A4+'Таможенные документы'!A4+'Экспортные грузы'!A4+Терминал!A4+'ЖД грузы'!A4)=0,0,B20/('Судовые документы'!A4+'Таможенные документы'!A4+'Экспортные грузы'!A4+Терминал!A4+'ЖД грузы'!A4))</f>
        <v>2.3255813953488372E-2</v>
      </c>
      <c r="D20" s="23"/>
      <c r="E20" s="44" t="s">
        <v>44</v>
      </c>
      <c r="F20" s="42">
        <f>COUNTIF('Судовые документы'!H6:H12,"7.4.8")+COUNTIF('Таможенные документы'!H6:H10,"7.4.8")+COUNTIF('Экспортные грузы'!H6:H10,"7.4.8")+COUNTIF(Терминал!H6:H21,"7.4.8")+COUNTIF('ЖД грузы'!H6:H15,"7.4.8")</f>
        <v>4</v>
      </c>
      <c r="G20" s="103">
        <f>SUMIF('Судовые документы'!H6:H12,"7.4.8",'Судовые документы'!I6:I12)+SUMIF('Таможенные документы'!H6:H10,"7.4.8",'Таможенные документы'!I6:I10)+SUMIF('Экспортные грузы'!H6:H10,"7.4.8",'Экспортные грузы'!I6:I10)+SUMIF(Терминал!H6:H21,"7.4.8",Терминал!I6:I21)+SUMIF('ЖД грузы'!H6:H15,"7.4.8",'ЖД грузы'!I6:I15)</f>
        <v>214</v>
      </c>
      <c r="H20" s="23"/>
      <c r="I20" s="23"/>
    </row>
    <row r="21" spans="1:9" ht="19.5" customHeight="1" x14ac:dyDescent="0.3">
      <c r="A21" s="48" t="s">
        <v>47</v>
      </c>
      <c r="B21" s="42">
        <f>COUNTIF('Судовые документы'!G6:G12,"Аналитика")+COUNTIF('Таможенные документы'!G6:G10,"Аналитика")+COUNTIF('Экспортные грузы'!G6:G10,"Аналитика")+COUNTIF(Терминал!G6:G21,"Аналитика")+COUNTIF('ЖД грузы'!G6:G15,"Аналитика")</f>
        <v>9</v>
      </c>
      <c r="C21" s="43">
        <f>IF(('Судовые документы'!A4+'Таможенные документы'!A4+'Экспортные грузы'!A4+Терминал!A4+'ЖД грузы'!A4)=0,0,B21/('Судовые документы'!A4+'Таможенные документы'!A4+'Экспортные грузы'!A4+Терминал!A4+'ЖД грузы'!A4))</f>
        <v>0.20930232558139536</v>
      </c>
      <c r="D21" s="23"/>
      <c r="E21" s="44" t="s">
        <v>46</v>
      </c>
      <c r="F21" s="42">
        <f>COUNTIF('Судовые документы'!H6:H12,"7.4.9")+COUNTIF('Таможенные документы'!H6:H10,"7.4.9")+COUNTIF('Экспортные грузы'!H6:H10,"7.4.9")+COUNTIF(Терминал!H6:H21,"7.4.9")+COUNTIF('ЖД грузы'!H6:H15,"7.4.9")</f>
        <v>4</v>
      </c>
      <c r="G21" s="103">
        <f>SUMIF('Судовые документы'!H6:H12,"7.4.9",'Судовые документы'!I6:I12)+SUMIF('Таможенные документы'!H6:H10,"7.4.9",'Таможенные документы'!I6:I10)+SUMIF('Экспортные грузы'!H6:H10,"7.4.9",'Экспортные грузы'!I6:I10)+SUMIF(Терминал!H6:H21,"7.4.9",Терминал!I6:I21)+SUMIF('ЖД грузы'!H6:H15,"7.4.9",'ЖД грузы'!I6:I15)</f>
        <v>441</v>
      </c>
      <c r="H21" s="23"/>
      <c r="I21" s="23"/>
    </row>
    <row r="22" spans="1:9" ht="19.5" customHeight="1" x14ac:dyDescent="0.3">
      <c r="A22" s="49" t="s">
        <v>49</v>
      </c>
      <c r="B22" s="42">
        <f>COUNTIF('Судовые документы'!G6:G12,"Оценка")+COUNTIF('Таможенные документы'!G6:G10,"Оценка")+COUNTIF('Экспортные грузы'!G6:G10,"Оценка")+COUNTIF(Терминал!G6:G21,"Оценка")+COUNTIF('ЖД грузы'!G6:G15,"Оценка")</f>
        <v>4</v>
      </c>
      <c r="C22" s="43">
        <f>IF(('Судовые документы'!A4+'Таможенные документы'!A4+'Экспортные грузы'!A4+Терминал!A4+'ЖД грузы'!A4)=0,0,B22/('Судовые документы'!A4+'Таможенные документы'!A4+'Экспортные грузы'!A4+Терминал!A4+'ЖД грузы'!A4))</f>
        <v>9.3023255813953487E-2</v>
      </c>
      <c r="D22" s="23"/>
      <c r="E22" s="44" t="s">
        <v>48</v>
      </c>
      <c r="F22" s="42">
        <f>COUNTIF('Судовые документы'!H6:H12,"7.4.10")+COUNTIF('Таможенные документы'!H6:H10,"7.4.10")+COUNTIF('Экспортные грузы'!H6:H10,"7.4.10")+COUNTIF(Терминал!H6:H21,"7.4.10")+COUNTIF('ЖД грузы'!H6:H15,"7.4.10")</f>
        <v>8</v>
      </c>
      <c r="G22" s="103">
        <f>SUMIF('Судовые документы'!H6:H12,"7.4.10",'Судовые документы'!I6:I12)+SUMIF('Таможенные документы'!H6:H10,"7.4.10",'Таможенные документы'!I6:I10)+SUMIF('Экспортные грузы'!H6:H10,"7.4.10",'Экспортные грузы'!I6:I10)+SUMIF(Терминал!H6:H21,"7.4.10",Терминал!I6:I21)+SUMIF('ЖД грузы'!H6:H15,"7.4.10",'ЖД грузы'!I6:I15)</f>
        <v>892</v>
      </c>
      <c r="H22" s="23"/>
      <c r="I22" s="23"/>
    </row>
    <row r="23" spans="1:9" ht="19.5" customHeight="1" x14ac:dyDescent="0.3">
      <c r="A23" s="50" t="s">
        <v>50</v>
      </c>
      <c r="B23" s="42">
        <f>COUNTIF('Судовые документы'!G6:G12,"Ожидает рассмотрения")+COUNTIF('Таможенные документы'!G6:G10,"Ожидает рассмотрения")+COUNTIF('Экспортные грузы'!G6:G10,"Ожидает рассмотрения")+COUNTIF(Терминал!G6:G21,"Ожидает рассмотрения")+COUNTIF('ЖД грузы'!G6:G15,"Ожидает рассмотрения")</f>
        <v>6</v>
      </c>
      <c r="C23" s="43">
        <f>IF(('Судовые документы'!A4+'Таможенные документы'!A4+'Экспортные грузы'!A4+Терминал!A4+'ЖД грузы'!A4)=0,0,B23/('Судовые документы'!A4+'Таможенные документы'!A4+'Экспортные грузы'!A4+Терминал!A4+'ЖД грузы'!A4))</f>
        <v>0.13953488372093023</v>
      </c>
      <c r="D23" s="23"/>
      <c r="E23" s="44" t="s">
        <v>51</v>
      </c>
      <c r="F23" s="42">
        <f>COUNTIF('Судовые документы'!H6:H12,"7.4.11")+COUNTIF('Таможенные документы'!H6:H10,"7.4.11")+COUNTIF('Экспортные грузы'!H6:H10,"7.4.11")+COUNTIF(Терминал!H6:H21,"7.4.11")+COUNTIF('ЖД грузы'!H6:H15,"7.4.11")</f>
        <v>16</v>
      </c>
      <c r="G23" s="103">
        <f>SUMIF('Судовые документы'!H6:H12,"7.4.11",'Судовые документы'!I6:I12)+SUMIF('Таможенные документы'!H6:H10,"7.4.11",'Таможенные документы'!I6:I10)+SUMIF('Экспортные грузы'!H6:H10,"7.4.11",'Экспортные грузы'!I6:I10)+SUMIF(Терминал!H6:H21,"7.4.11",Терминал!I6:I21)+SUMIF('ЖД грузы'!H6:H15,"7.4.11",'ЖД грузы'!I6:I15)</f>
        <v>574</v>
      </c>
      <c r="H23" s="23"/>
      <c r="I23" s="23"/>
    </row>
    <row r="24" spans="1:9" ht="19.5" customHeight="1" x14ac:dyDescent="0.3">
      <c r="A24" s="50" t="s">
        <v>52</v>
      </c>
      <c r="B24" s="42">
        <f>COUNTIF('Судовые документы'!G6:G12,"Приостановлена")+COUNTIF('Таможенные документы'!G6:G10,"Приостановлена")+COUNTIF('Экспортные грузы'!G6:G10,"Приостановлена")+COUNTIF(Терминал!G6:G21,"Приостановлена")+COUNTIF('ЖД грузы'!G6:G15,"Приостановлена")</f>
        <v>1</v>
      </c>
      <c r="C24" s="43">
        <f>IF(('Судовые документы'!A4+'Таможенные документы'!A4+'Экспортные грузы'!A4+Терминал!A4+'ЖД грузы'!A4)=0,0,B24/('Судовые документы'!A4+'Таможенные документы'!A4+'Экспортные грузы'!A4+Терминал!A4+'ЖД грузы'!A4))</f>
        <v>2.3255813953488372E-2</v>
      </c>
      <c r="D24" s="23"/>
      <c r="E24" s="44" t="s">
        <v>53</v>
      </c>
      <c r="F24" s="42">
        <f>COUNTIF('Судовые документы'!H6:H12,"7.4.12")+COUNTIF('Таможенные документы'!H6:H10,"7.4.12")+COUNTIF('Экспортные грузы'!H6:H10,"7.4.12")+COUNTIF(Терминал!H6:H21,"7.4.12")+COUNTIF('ЖД грузы'!H6:H15,"7.4.12")</f>
        <v>0</v>
      </c>
      <c r="G24" s="103">
        <f>SUMIF('Судовые документы'!H6:H12,"7.4.12",'Судовые документы'!I6:I12)+SUMIF('Таможенные документы'!H6:H10,"7.4.12",'Таможенные документы'!I6:I10)+SUMIF('Экспортные грузы'!H6:H10,"7.4.12",'Экспортные грузы'!I6:I10)+SUMIF(Терминал!H6:H21,"7.4.12",Терминал!I6:I21)+SUMIF('ЖД грузы'!H6:H15,"7.4.12",'ЖД грузы'!I6:I15)</f>
        <v>0</v>
      </c>
      <c r="H24" s="23"/>
      <c r="I24" s="23"/>
    </row>
    <row r="25" spans="1:9" ht="19.5" customHeight="1" x14ac:dyDescent="0.3">
      <c r="A25" s="45" t="s">
        <v>54</v>
      </c>
      <c r="B25" s="42">
        <f>COUNTIF('Судовые документы'!G6:G12,"На приемке")+COUNTIF('Таможенные документы'!G6:G10,"На приемке")+COUNTIF('Экспортные грузы'!G6:G10,"На приемке")+COUNTIF(Терминал!G6:G21,"На приемке")+COUNTIF('ЖД грузы'!G6:G15,"На приемке")</f>
        <v>0</v>
      </c>
      <c r="C25" s="43">
        <f>IF(('Судовые документы'!A4+'Таможенные документы'!A4+'Экспортные грузы'!A4+Терминал!A4+'ЖД грузы'!A4)=0,0,B25/('Судовые документы'!A4+'Таможенные документы'!A4+'Экспортные грузы'!A4+Терминал!A4+'ЖД грузы'!A4))</f>
        <v>0</v>
      </c>
      <c r="D25" s="23"/>
      <c r="E25" s="44" t="s">
        <v>55</v>
      </c>
      <c r="F25" s="42">
        <f>COUNTIF('Судовые документы'!H6:H12,"Не СОЛВО")+COUNTIF('Таможенные документы'!H6:H10,"Не СОЛВО")+COUNTIF('Экспортные грузы'!H6:H10,"Не СОЛВО")+COUNTIF(Терминал!H6:H21,"Не СОЛВО")+COUNTIF('ЖД грузы'!H6:H15,"Не СОЛВО")</f>
        <v>2</v>
      </c>
      <c r="G25" s="103">
        <f>SUMIF('Судовые документы'!H7:H13,"Не СОЛВО",'Судовые документы'!I7:I13)+SUMIF('Таможенные документы'!H7:H11,"Не СОЛВО",'Таможенные документы'!I7:I11)+SUMIF('Экспортные грузы'!H7:H11,"Не СОЛВО",'Экспортные грузы'!I7:I11)+SUMIF(Терминал!H7:H22,"Не СОЛВО",Терминал!I7:I22)+SUMIF('ЖД грузы'!H7:H16,"Не СОЛВО",'ЖД грузы'!I7:I16)</f>
        <v>0</v>
      </c>
      <c r="H25" s="23"/>
      <c r="I25" s="23"/>
    </row>
    <row r="26" spans="1:9" ht="19.5" customHeight="1" x14ac:dyDescent="0.3">
      <c r="A26" s="75" t="s">
        <v>55</v>
      </c>
      <c r="B26" s="76">
        <f>COUNTIF('Судовые документы'!G6:G12,"Не СОЛВО")+COUNTIF('Таможенные документы'!G6:G10,"Не СОЛВО")+COUNTIF('Экспортные грузы'!G6:G10,"Не СОЛВО")+COUNTIF(Терминал!G6:G21,"Не СОЛВО")+COUNTIF('ЖД грузы'!G6:G15,"Не СОЛВО")</f>
        <v>2</v>
      </c>
      <c r="C26" s="77">
        <f>IF(('Судовые документы'!A4+'Таможенные документы'!A4+'Экспортные грузы'!A4+Терминал!A4+'ЖД грузы'!A4)=0,0,B26/('Судовые документы'!A4+'Таможенные документы'!A4+'Экспортные грузы'!A4+Терминал!A4+'ЖД грузы'!A4))</f>
        <v>4.6511627906976744E-2</v>
      </c>
      <c r="D26" s="23"/>
      <c r="E26" s="121" t="s">
        <v>213</v>
      </c>
      <c r="F26" s="42">
        <f>COUNTIF('Судовые документы'!H6:H12,"Н/Д")+COUNTIF('Таможенные документы'!H6:H10,"Н/Д")+COUNTIF('Экспортные грузы'!H6:H10,"Н/Д")+COUNTIF(Терминал!H6:H21,"Н/Д")+COUNTIF('ЖД грузы'!H6:H15,"Н/Д")</f>
        <v>3</v>
      </c>
      <c r="G26" s="103">
        <f>SUMIF('Судовые документы'!H8:H14,"7.4.12",'Судовые документы'!I8:I14)+SUMIF('Таможенные документы'!H8:H12,"7.4.12",'Таможенные документы'!I8:I12)+SUMIF('Экспортные грузы'!H8:H12,"7.4.12",'Экспортные грузы'!I8:I12)+SUMIF(Терминал!H8:H23,"7.4.12",Терминал!I8:I23)+SUMIF('ЖД грузы'!H8:H17,"7.4.12",'ЖД грузы'!I8:I17)</f>
        <v>0</v>
      </c>
      <c r="H26" s="23"/>
      <c r="I26" s="23"/>
    </row>
    <row r="27" spans="1:9" ht="18" customHeight="1" x14ac:dyDescent="0.3">
      <c r="A27" s="75" t="s">
        <v>213</v>
      </c>
      <c r="B27" s="76">
        <f>COUNTIF('Судовые документы'!H6:H12,"Н/Д")+COUNTIF('Таможенные документы'!H6:H10,"Н/Д")+COUNTIF('Экспортные грузы'!H6:H10,"Н/Д")+COUNTIF(Терминал!H6:H21,"Н/Д")+COUNTIF('ЖД грузы'!H6:H15,"Н/Д")</f>
        <v>3</v>
      </c>
      <c r="C27" s="77">
        <f>IF(('Судовые документы'!A4+'Таможенные документы'!A4+'Экспортные грузы'!A4+Терминал!A4+'ЖД грузы'!A4)=0,0,B27/('Судовые документы'!A4+'Таможенные документы'!A4+'Экспортные грузы'!A4+Терминал!A4+'ЖД грузы'!A4))</f>
        <v>6.9767441860465115E-2</v>
      </c>
      <c r="D27" s="23"/>
      <c r="E27" s="78" t="s">
        <v>56</v>
      </c>
      <c r="F27" s="79">
        <f>IFERROR(SUM(F17:F26),"0")</f>
        <v>43</v>
      </c>
      <c r="G27" s="101">
        <f>IFERROR(SUM(G17:G25),"0")</f>
        <v>3231</v>
      </c>
      <c r="H27" s="23"/>
      <c r="I27" s="23"/>
    </row>
    <row r="28" spans="1:9" ht="15.75" customHeight="1" x14ac:dyDescent="0.3">
      <c r="A28" s="78" t="s">
        <v>56</v>
      </c>
      <c r="B28" s="79">
        <f>IFERROR(SUM(B16:B27),"0")</f>
        <v>44</v>
      </c>
      <c r="C28" s="80">
        <f>SUM(C16:C27)</f>
        <v>1.0232558139534884</v>
      </c>
      <c r="D28" s="23"/>
      <c r="H28" s="23"/>
      <c r="I28" s="23"/>
    </row>
    <row r="29" spans="1:9" x14ac:dyDescent="0.3">
      <c r="A29" s="51" t="s">
        <v>57</v>
      </c>
      <c r="B29" s="23"/>
      <c r="C29" s="23"/>
      <c r="E29" s="23"/>
      <c r="F29" s="23"/>
      <c r="G29" s="23"/>
    </row>
    <row r="30" spans="1:9" x14ac:dyDescent="0.3">
      <c r="E30" s="23"/>
      <c r="F30" s="23"/>
      <c r="G30" s="23"/>
    </row>
  </sheetData>
  <mergeCells count="3">
    <mergeCell ref="A1:I1"/>
    <mergeCell ref="A15:C15"/>
    <mergeCell ref="E15:G15"/>
  </mergeCells>
  <conditionalFormatting sqref="D6">
    <cfRule type="cellIs" dxfId="81" priority="1" operator="equal">
      <formula>FALSE</formula>
    </cfRule>
    <cfRule type="cellIs" dxfId="80" priority="2" operator="equal">
      <formula>TRUE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M52"/>
  <sheetViews>
    <sheetView showGridLines="0" zoomScaleNormal="100" workbookViewId="0">
      <pane ySplit="3" topLeftCell="A4" activePane="bottomLeft" state="frozen"/>
      <selection pane="bottomLeft" activeCell="D5" sqref="D5"/>
    </sheetView>
  </sheetViews>
  <sheetFormatPr defaultColWidth="8.6640625" defaultRowHeight="14.4" x14ac:dyDescent="0.3"/>
  <cols>
    <col min="1" max="1" width="5" customWidth="1"/>
    <col min="2" max="2" width="22" customWidth="1"/>
    <col min="3" max="3" width="28" customWidth="1"/>
    <col min="4" max="4" width="48" customWidth="1"/>
    <col min="5" max="5" width="12" customWidth="1"/>
    <col min="6" max="6" width="15.6640625" customWidth="1"/>
    <col min="7" max="7" width="20" customWidth="1"/>
    <col min="8" max="8" width="10" customWidth="1"/>
    <col min="9" max="9" width="12" customWidth="1"/>
    <col min="10" max="10" width="9" customWidth="1"/>
    <col min="11" max="11" width="26" customWidth="1"/>
    <col min="12" max="12" width="16" customWidth="1"/>
    <col min="13" max="13" width="13" customWidth="1"/>
  </cols>
  <sheetData>
    <row r="1" spans="1:13" ht="36" customHeight="1" x14ac:dyDescent="0.3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13" ht="18" customHeight="1" x14ac:dyDescent="0.3">
      <c r="A2" s="122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</row>
    <row r="3" spans="1:13" ht="27.7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21.75" customHeight="1" x14ac:dyDescent="0.3">
      <c r="A4" s="124" t="s">
        <v>15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</row>
    <row r="5" spans="1:13" ht="39.75" customHeight="1" x14ac:dyDescent="0.3">
      <c r="A5" s="3">
        <f>'Судовые документы'!A6</f>
        <v>1</v>
      </c>
      <c r="B5" s="4" t="str">
        <f>'Судовые документы'!B6</f>
        <v>4SC-1-RQ-CR-789 #3297986</v>
      </c>
      <c r="C5" s="5" t="str">
        <f>'Судовые документы'!C6</f>
        <v>Автоматизация ДО 1</v>
      </c>
      <c r="D5" s="6" t="str">
        <f>IFERROR(IF(K5="Обработка судовых документов",INDEX('Судовые документы'!D:D,MATCH(A5,'Судовые документы'!A:A,0)),IF(K5="Оформление таможенных документов",INDEX('Таможенные документы'!D:D,MATCH(A5,'Таможенные документы'!A:A,0)),IF(K5="Оформление экспортных грузов",INDEX('Экспортные грузы'!D:D,MATCH(A5,'Экспортные грузы'!A:A,0)),IF(K5="Терминальные операции",INDEX(Терминал!D:D,MATCH(A5,Терминал!A:A,0)),IF(K5="Документальное оформление ЖД грузов",INDEX('ЖД грузы'!D:D,MATCH(A5,'ЖД грузы'!A:A,0)),""))))),"")</f>
        <v>Корректное формирование ДО1 для контейнеров с признаком SOC</v>
      </c>
      <c r="E5" s="7" t="str">
        <f>IFERROR(IF(K5="Обработка судовых документов",INDEX('Судовые документы'!E:E,MATCH(A5,'Судовые документы'!A:A,0)),IF(K5="Оформление таможенных документов",INDEX('Таможенные документы'!E:E,MATCH(A5,'Таможенные документы'!A:A,0)),IF(K5="Оформление экспортных грузов",INDEX('Экспортные грузы'!E:E,MATCH(A5,'Экспортные грузы'!A:A,0)),IF(K5="Терминальные операции",INDEX(Терминал!E:E,MATCH(A5,Терминал!A:A,0)),IF(K5="Документальное оформление ЖД грузов",INDEX('ЖД грузы'!E:E,MATCH(A5,'ЖД грузы'!A:A,0)),""))))),"")</f>
        <v>май 2026</v>
      </c>
      <c r="F5" s="6" t="str">
        <f>IFERROR(IF(K5="Обработка судовых документов",INDEX('Судовые документы'!F:F,MATCH(A5,'Судовые документы'!A:A,0)),IF(K5="Оформление таможенных документов",INDEX('Таможенные документы'!F:F,MATCH(A5,'Таможенные документы'!A:A,0)),IF(K5="Оформление экспортных грузов",INDEX('Экспортные грузы'!F:F,MATCH(A5,'Экспортные грузы'!A:A,0)),IF(K5="Терминальные операции",INDEX(Терминал!F:F,MATCH(A5,Терминал!A:A,0)),IF(K5="Документальное оформление ЖД грузов",INDEX('ЖД грузы'!F:F,MATCH(A5,'ЖД грузы'!A:A,0)),""))))),"")</f>
        <v>В работе</v>
      </c>
      <c r="G5" s="6" t="str">
        <f>IFERROR(IF(K5="Обработка судовых документов",INDEX('Судовые документы'!G:G,MATCH(A5,'Судовые документы'!A:A,0)),IF(K5="Оформление таможенных документов",INDEX('Таможенные документы'!G:G,MATCH(A5,'Таможенные документы'!A:A,0)),IF(K5="Оформление экспортных грузов",INDEX('Экспортные грузы'!G:G,MATCH(A5,'Экспортные грузы'!A:A,0)),IF(K5="Терминальные операции",INDEX(Терминал!G:G,MATCH(A5,Терминал!A:A,0)),IF(K5="Документальное оформление ЖД грузов",INDEX('ЖД грузы'!G:G,MATCH(A5,'ЖД грузы'!A:A,0)),""))))),"")</f>
        <v>Тестирование</v>
      </c>
      <c r="H5" s="8" t="str">
        <f>IFERROR(IF(K5="Обработка судовых документов",INDEX('Судовые документы'!H:H,MATCH(A5,'Судовые документы'!A:A,0)),IF(K5="Оформление таможенных документов",INDEX('Таможенные документы'!H:H,MATCH(A5,'Таможенные документы'!A:A,0)),IF(K5="Оформление экспортных грузов",INDEX('Экспортные грузы'!H:H,MATCH(A5,'Экспортные грузы'!A:A,0)),IF(K5="Терминальные операции",INDEX(Терминал!H:H,MATCH(A5,Терминал!A:A,0)),IF(K5="Документальное оформление ЖД грузов",INDEX('ЖД грузы'!H:H,MATCH(A5,'ЖД грузы'!A:A,0)),""))))),"")</f>
        <v>7.4.10</v>
      </c>
      <c r="I5" s="9">
        <f>IFERROR(IF(K5="Обработка судовых документов",INDEX('Судовые документы'!I:I,MATCH(A5,'Судовые документы'!A:A,0)),IF(K5="Оформление таможенных документов",INDEX('Таможенные документы'!I:I,MATCH(A5,'Таможенные документы'!A:A,0)),IF(K5="Оформление экспортных грузов",INDEX('Экспортные грузы'!I:I,MATCH(A5,'Экспортные грузы'!A:A,0)),IF(K5="Терминальные операции",INDEX(Терминал!I:I,MATCH(A5,Терминал!A:A,0)),IF(K5="Документальное оформление ЖД грузов",INDEX('ЖД грузы'!I:I,MATCH(A5,'ЖД грузы'!A:A,0)),""))))),"")</f>
        <v>235</v>
      </c>
      <c r="J5" s="7" t="str">
        <f>IFERROR(IF(K5="Обработка судовых документов",INDEX('Судовые документы'!J:J,MATCH(A5,'Судовые документы'!A:A,0)),IF(K5="Оформление таможенных документов",INDEX('Таможенные документы'!J:J,MATCH(A5,'Таможенные документы'!A:A,0)),IF(K5="Оформление экспортных грузов",INDEX('Экспортные грузы'!J:J,MATCH(A5,'Экспортные грузы'!A:A,0)),IF(K5="Терминальные операции",INDEX(Терминал!J:J,MATCH(A5,Терминал!A:A,0)),IF(K5="Документальное оформление ЖД грузов",INDEX('ЖД грузы'!J:J,MATCH(A5,'ЖД грузы'!A:A,0)),""))))),"")</f>
        <v>Да</v>
      </c>
      <c r="K5" s="10" t="s">
        <v>16</v>
      </c>
      <c r="L5" s="11" t="str">
        <f>IFERROR(IF(K5="Обработка судовых документов",INDEX('Судовые документы'!L:L,MATCH(A5,'Судовые документы'!A:A,0)),IF(K5="Оформление таможенных документов",INDEX('Таможенные документы'!L:L,MATCH(A5,'Таможенные документы'!A:A,0)),IF(K5="Оформление экспортных грузов",INDEX('Экспортные грузы'!L:L,MATCH(A5,'Экспортные грузы'!A:A,0)),IF(K5="Терминальные операции",INDEX(Терминал!L:L,MATCH(A5,Терминал!A:A,0)),IF(K5="Документальное оформление ЖД грузов",INDEX('ЖД грузы'!L:L,MATCH(A5,'ЖД грузы'!A:A,0)),""))))),"")</f>
        <v>Средний</v>
      </c>
      <c r="M5" s="7">
        <f>IFERROR(IF(K5="Обработка судовых документов",INDEX('Судовые документы'!K:K,MATCH(A5,'Судовые документы'!A:A,0)),IF(K5="Оформление таможенных документов",INDEX('Таможенные документы'!K:K,MATCH(A5,'Таможенные документы'!A:A,0)),IF(K5="Оформление экспортных грузов",INDEX('Экспортные грузы'!K:K,MATCH(A5,'Экспортные грузы'!A:A,0)),IF(K5="Терминальные операции",INDEX(Терминал!K:K,MATCH(A5,Терминал!A:A,0)),IF(K5="Документальное оформление ЖД грузов",INDEX('ЖД грузы'!K:K,MATCH(A5,'ЖД грузы'!A:A,0)),""))))),"")</f>
        <v>0</v>
      </c>
    </row>
    <row r="6" spans="1:13" ht="39.75" customHeight="1" x14ac:dyDescent="0.3">
      <c r="A6" s="12">
        <f>'Судовые документы'!A7</f>
        <v>2</v>
      </c>
      <c r="B6" s="13">
        <f>'Судовые документы'!B7</f>
        <v>3323631</v>
      </c>
      <c r="C6" s="14" t="str">
        <f>'Судовые документы'!C7</f>
        <v>Автоматизация ДО 1</v>
      </c>
      <c r="D6" s="15" t="str">
        <f>IFERROR(IF(K6="Обработка судовых документов",INDEX('Судовые документы'!D:D,MATCH(A6,'Судовые документы'!A:A,0)),IF(K6="Оформление таможенных документов",INDEX('Таможенные документы'!D:D,MATCH(A6,'Таможенные документы'!A:A,0)),IF(K6="Оформление экспортных грузов",INDEX('Экспортные грузы'!D:D,MATCH(A6,'Экспортные грузы'!A:A,0)),IF(K6="Терминальные операции",INDEX(Терминал!D:D,MATCH(A6,Терминал!A:A,0)),IF(K6="Документальное оформление ЖД грузов",INDEX('ЖД грузы'!D:D,MATCH(A6,'ЖД грузы'!A:A,0)),""))))),"")</f>
        <v>Некорректный вес в ген. Акте из-за дублирования веса тары</v>
      </c>
      <c r="E6" s="16" t="str">
        <f>IFERROR(IF(K6="Обработка судовых документов",INDEX('Судовые документы'!E:E,MATCH(A6,'Судовые документы'!A:A,0)),IF(K6="Оформление таможенных документов",INDEX('Таможенные документы'!E:E,MATCH(A6,'Таможенные документы'!A:A,0)),IF(K6="Оформление экспортных грузов",INDEX('Экспортные грузы'!E:E,MATCH(A6,'Экспортные грузы'!A:A,0)),IF(K6="Терминальные операции",INDEX(Терминал!E:E,MATCH(A6,Терминал!A:A,0)),IF(K6="Документальное оформление ЖД грузов",INDEX('ЖД грузы'!E:E,MATCH(A6,'ЖД грузы'!A:A,0)),""))))),"")</f>
        <v>май 2026</v>
      </c>
      <c r="F6" s="15" t="str">
        <f>IFERROR(IF(K6="Обработка судовых документов",INDEX('Судовые документы'!F:F,MATCH(A6,'Судовые документы'!A:A,0)),IF(K6="Оформление таможенных документов",INDEX('Таможенные документы'!F:F,MATCH(A6,'Таможенные документы'!A:A,0)),IF(K6="Оформление экспортных грузов",INDEX('Экспортные грузы'!F:F,MATCH(A6,'Экспортные грузы'!A:A,0)),IF(K6="Терминальные операции",INDEX(Терминал!F:F,MATCH(A6,Терминал!A:A,0)),IF(K6="Документальное оформление ЖД грузов",INDEX('ЖД грузы'!F:F,MATCH(A6,'ЖД грузы'!A:A,0)),""))))),"")</f>
        <v>Приостановлена</v>
      </c>
      <c r="G6" s="15" t="str">
        <f>IFERROR(IF(K6="Обработка судовых документов",INDEX('Судовые документы'!G:G,MATCH(A6,'Судовые документы'!A:A,0)),IF(K6="Оформление таможенных документов",INDEX('Таможенные документы'!G:G,MATCH(A6,'Таможенные документы'!A:A,0)),IF(K6="Оформление экспортных грузов",INDEX('Экспортные грузы'!G:G,MATCH(A6,'Экспортные грузы'!A:A,0)),IF(K6="Терминальные операции",INDEX(Терминал!G:G,MATCH(A6,Терминал!A:A,0)),IF(K6="Документальное оформление ЖД грузов",INDEX('ЖД грузы'!G:G,MATCH(A6,'ЖД грузы'!A:A,0)),""))))),"")</f>
        <v>Тестирование</v>
      </c>
      <c r="H6" s="17" t="str">
        <f>IFERROR(IF(K6="Обработка судовых документов",INDEX('Судовые документы'!H:H,MATCH(A6,'Судовые документы'!A:A,0)),IF(K6="Оформление таможенных документов",INDEX('Таможенные документы'!H:H,MATCH(A6,'Таможенные документы'!A:A,0)),IF(K6="Оформление экспортных грузов",INDEX('Экспортные грузы'!H:H,MATCH(A6,'Экспортные грузы'!A:A,0)),IF(K6="Терминальные операции",INDEX(Терминал!H:H,MATCH(A6,Терминал!A:A,0)),IF(K6="Документальное оформление ЖД грузов",INDEX('ЖД грузы'!H:H,MATCH(A6,'ЖД грузы'!A:A,0)),""))))),"")</f>
        <v>7.4.10</v>
      </c>
      <c r="I6" s="18">
        <f>IFERROR(IF(K6="Обработка судовых документов",INDEX('Судовые документы'!I:I,MATCH(A6,'Судовые документы'!A:A,0)),IF(K6="Оформление таможенных документов",INDEX('Таможенные документы'!I:I,MATCH(A6,'Таможенные документы'!A:A,0)),IF(K6="Оформление экспортных грузов",INDEX('Экспортные грузы'!I:I,MATCH(A6,'Экспортные грузы'!A:A,0)),IF(K6="Терминальные операции",INDEX(Терминал!I:I,MATCH(A6,Терминал!A:A,0)),IF(K6="Документальное оформление ЖД грузов",INDEX('ЖД грузы'!I:I,MATCH(A6,'ЖД грузы'!A:A,0)),""))))),"")</f>
        <v>0</v>
      </c>
      <c r="J6" s="16" t="str">
        <f>IFERROR(IF(K6="Обработка судовых документов",INDEX('Судовые документы'!J:J,MATCH(A6,'Судовые документы'!A:A,0)),IF(K6="Оформление таможенных документов",INDEX('Таможенные документы'!J:J,MATCH(A6,'Таможенные документы'!A:A,0)),IF(K6="Оформление экспортных грузов",INDEX('Экспортные грузы'!J:J,MATCH(A6,'Экспортные грузы'!A:A,0)),IF(K6="Терминальные операции",INDEX(Терминал!J:J,MATCH(A6,Терминал!A:A,0)),IF(K6="Документальное оформление ЖД грузов",INDEX('ЖД грузы'!J:J,MATCH(A6,'ЖД грузы'!A:A,0)),""))))),"")</f>
        <v>Нет</v>
      </c>
      <c r="K6" s="19" t="s">
        <v>16</v>
      </c>
      <c r="L6" s="20" t="str">
        <f>IFERROR(IF(K6="Обработка судовых документов",INDEX('Судовые документы'!L:L,MATCH(A6,'Судовые документы'!A:A,0)),IF(K6="Оформление таможенных документов",INDEX('Таможенные документы'!L:L,MATCH(A6,'Таможенные документы'!A:A,0)),IF(K6="Оформление экспортных грузов",INDEX('Экспортные грузы'!L:L,MATCH(A6,'Экспортные грузы'!A:A,0)),IF(K6="Терминальные операции",INDEX(Терминал!L:L,MATCH(A6,Терминал!A:A,0)),IF(K6="Документальное оформление ЖД грузов",INDEX('ЖД грузы'!L:L,MATCH(A6,'ЖД грузы'!A:A,0)),""))))),"")</f>
        <v>Средний</v>
      </c>
      <c r="M6" s="16">
        <f>IFERROR(IF(K6="Обработка судовых документов",INDEX('Судовые документы'!K:K,MATCH(A6,'Судовые документы'!A:A,0)),IF(K6="Оформление таможенных документов",INDEX('Таможенные документы'!K:K,MATCH(A6,'Таможенные документы'!A:A,0)),IF(K6="Оформление экспортных грузов",INDEX('Экспортные грузы'!K:K,MATCH(A6,'Экспортные грузы'!A:A,0)),IF(K6="Терминальные операции",INDEX(Терминал!K:K,MATCH(A6,Терминал!A:A,0)),IF(K6="Документальное оформление ЖД грузов",INDEX('ЖД грузы'!K:K,MATCH(A6,'ЖД грузы'!A:A,0)),""))))),"")</f>
        <v>0</v>
      </c>
    </row>
    <row r="7" spans="1:13" ht="39.75" customHeight="1" x14ac:dyDescent="0.3">
      <c r="A7" s="3">
        <f>'Судовые документы'!A8</f>
        <v>3</v>
      </c>
      <c r="B7" s="4" t="str">
        <f>'Судовые документы'!B8</f>
        <v>4SC-RQ-CR-876 #3628043</v>
      </c>
      <c r="C7" s="5" t="str">
        <f>'Судовые документы'!C8</f>
        <v>Загрузка EDI cuscar</v>
      </c>
      <c r="D7" s="6" t="str">
        <f>IFERROR(IF(K7="Обработка судовых документов",INDEX('Судовые документы'!D:D,MATCH(A7,'Судовые документы'!A:A,0)),IF(K7="Оформление таможенных документов",INDEX('Таможенные документы'!D:D,MATCH(A7,'Таможенные документы'!A:A,0)),IF(K7="Оформление экспортных грузов",INDEX('Экспортные грузы'!D:D,MATCH(A7,'Экспортные грузы'!A:A,0)),IF(K7="Терминальные операции",INDEX(Терминал!D:D,MATCH(A7,Терминал!A:A,0)),IF(K7="Документальное оформление ЖД грузов",INDEX('ЖД грузы'!D:D,MATCH(A7,'ЖД грузы'!A:A,0)),""))))),"")</f>
        <v>Проверка ключевых параметров коносамента</v>
      </c>
      <c r="E7" s="7" t="str">
        <f>IFERROR(IF(K7="Обработка судовых документов",INDEX('Судовые документы'!E:E,MATCH(A7,'Судовые документы'!A:A,0)),IF(K7="Оформление таможенных документов",INDEX('Таможенные документы'!E:E,MATCH(A7,'Таможенные документы'!A:A,0)),IF(K7="Оформление экспортных грузов",INDEX('Экспортные грузы'!E:E,MATCH(A7,'Экспортные грузы'!A:A,0)),IF(K7="Терминальные операции",INDEX(Терминал!E:E,MATCH(A7,Терминал!A:A,0)),IF(K7="Документальное оформление ЖД грузов",INDEX('ЖД грузы'!E:E,MATCH(A7,'ЖД грузы'!A:A,0)),""))))),"")</f>
        <v>ОПЭ</v>
      </c>
      <c r="F7" s="6" t="str">
        <f>IFERROR(IF(K7="Обработка судовых документов",INDEX('Судовые документы'!F:F,MATCH(A7,'Судовые документы'!A:A,0)),IF(K7="Оформление таможенных документов",INDEX('Таможенные документы'!F:F,MATCH(A7,'Таможенные документы'!A:A,0)),IF(K7="Оформление экспортных грузов",INDEX('Экспортные грузы'!F:F,MATCH(A7,'Экспортные грузы'!A:A,0)),IF(K7="Терминальные операции",INDEX(Терминал!F:F,MATCH(A7,Терминал!A:A,0)),IF(K7="Документальное оформление ЖД грузов",INDEX('ЖД грузы'!F:F,MATCH(A7,'ЖД грузы'!A:A,0)),""))))),"")</f>
        <v>ОПЭ</v>
      </c>
      <c r="G7" s="6" t="str">
        <f>IFERROR(IF(K7="Обработка судовых документов",INDEX('Судовые документы'!G:G,MATCH(A7,'Судовые документы'!A:A,0)),IF(K7="Оформление таможенных документов",INDEX('Таможенные документы'!G:G,MATCH(A7,'Таможенные документы'!A:A,0)),IF(K7="Оформление экспортных грузов",INDEX('Экспортные грузы'!G:G,MATCH(A7,'Экспортные грузы'!A:A,0)),IF(K7="Терминальные операции",INDEX(Терминал!G:G,MATCH(A7,Терминал!A:A,0)),IF(K7="Документальное оформление ЖД грузов",INDEX('ЖД грузы'!G:G,MATCH(A7,'ЖД грузы'!A:A,0)),""))))),"")</f>
        <v>Установлено</v>
      </c>
      <c r="H7" s="8" t="str">
        <f>IFERROR(IF(K7="Обработка судовых документов",INDEX('Судовые документы'!H:H,MATCH(A7,'Судовые документы'!A:A,0)),IF(K7="Оформление таможенных документов",INDEX('Таможенные документы'!H:H,MATCH(A7,'Таможенные документы'!A:A,0)),IF(K7="Оформление экспортных грузов",INDEX('Экспортные грузы'!H:H,MATCH(A7,'Экспортные грузы'!A:A,0)),IF(K7="Терминальные операции",INDEX(Терминал!H:H,MATCH(A7,Терминал!A:A,0)),IF(K7="Документальное оформление ЖД грузов",INDEX('ЖД грузы'!H:H,MATCH(A7,'ЖД грузы'!A:A,0)),""))))),"")</f>
        <v>7.4.8</v>
      </c>
      <c r="I7" s="9">
        <f>IFERROR(IF(K7="Обработка судовых документов",INDEX('Судовые документы'!I:I,MATCH(A7,'Судовые документы'!A:A,0)),IF(K7="Оформление таможенных документов",INDEX('Таможенные документы'!I:I,MATCH(A7,'Таможенные документы'!A:A,0)),IF(K7="Оформление экспортных грузов",INDEX('Экспортные грузы'!I:I,MATCH(A7,'Экспортные грузы'!A:A,0)),IF(K7="Терминальные операции",INDEX(Терминал!I:I,MATCH(A7,Терминал!A:A,0)),IF(K7="Документальное оформление ЖД грузов",INDEX('ЖД грузы'!I:I,MATCH(A7,'ЖД грузы'!A:A,0)),""))))),"")</f>
        <v>144</v>
      </c>
      <c r="J7" s="7" t="str">
        <f>IFERROR(IF(K7="Обработка судовых документов",INDEX('Судовые документы'!J:J,MATCH(A7,'Судовые документы'!A:A,0)),IF(K7="Оформление таможенных документов",INDEX('Таможенные документы'!J:J,MATCH(A7,'Таможенные документы'!A:A,0)),IF(K7="Оформление экспортных грузов",INDEX('Экспортные грузы'!J:J,MATCH(A7,'Экспортные грузы'!A:A,0)),IF(K7="Терминальные операции",INDEX(Терминал!J:J,MATCH(A7,Терминал!A:A,0)),IF(K7="Документальное оформление ЖД грузов",INDEX('ЖД грузы'!J:J,MATCH(A7,'ЖД грузы'!A:A,0)),""))))),"")</f>
        <v>Да</v>
      </c>
      <c r="K7" s="10" t="s">
        <v>16</v>
      </c>
      <c r="L7" s="11" t="str">
        <f>IFERROR(IF(K7="Обработка судовых документов",INDEX('Судовые документы'!L:L,MATCH(A7,'Судовые документы'!A:A,0)),IF(K7="Оформление таможенных документов",INDEX('Таможенные документы'!L:L,MATCH(A7,'Таможенные документы'!A:A,0)),IF(K7="Оформление экспортных грузов",INDEX('Экспортные грузы'!L:L,MATCH(A7,'Экспортные грузы'!A:A,0)),IF(K7="Терминальные операции",INDEX(Терминал!L:L,MATCH(A7,Терминал!A:A,0)),IF(K7="Документальное оформление ЖД грузов",INDEX('ЖД грузы'!L:L,MATCH(A7,'ЖД грузы'!A:A,0)),""))))),"")</f>
        <v>Средний</v>
      </c>
      <c r="M7" s="7">
        <f>IFERROR(IF(K7="Обработка судовых документов",INDEX('Судовые документы'!K:K,MATCH(A7,'Судовые документы'!A:A,0)),IF(K7="Оформление таможенных документов",INDEX('Таможенные документы'!K:K,MATCH(A7,'Таможенные документы'!A:A,0)),IF(K7="Оформление экспортных грузов",INDEX('Экспортные грузы'!K:K,MATCH(A7,'Экспортные грузы'!A:A,0)),IF(K7="Терминальные операции",INDEX(Терминал!K:K,MATCH(A7,Терминал!A:A,0)),IF(K7="Документальное оформление ЖД грузов",INDEX('ЖД грузы'!K:K,MATCH(A7,'ЖД грузы'!A:A,0)),""))))),"")</f>
        <v>0</v>
      </c>
    </row>
    <row r="8" spans="1:13" ht="39.75" customHeight="1" x14ac:dyDescent="0.3">
      <c r="A8" s="12">
        <f>'Судовые документы'!A9</f>
        <v>4</v>
      </c>
      <c r="B8" s="13" t="str">
        <f>'Судовые документы'!B9</f>
        <v>4SC-1-RQ-CR-779 #3283630</v>
      </c>
      <c r="C8" s="14" t="str">
        <f>'Судовые документы'!C9</f>
        <v>Ген акт, А/И, ведомость приема импорта</v>
      </c>
      <c r="D8" s="15" t="str">
        <f>IFERROR(IF(K8="Обработка судовых документов",INDEX('Судовые документы'!D:D,MATCH(A8,'Судовые документы'!A:A,0)),IF(K8="Оформление таможенных документов",INDEX('Таможенные документы'!D:D,MATCH(A8,'Таможенные документы'!A:A,0)),IF(K8="Оформление экспортных грузов",INDEX('Экспортные грузы'!D:D,MATCH(A8,'Экспортные грузы'!A:A,0)),IF(K8="Терминальные операции",INDEX(Терминал!D:D,MATCH(A8,Терминал!A:A,0)),IF(K8="Документальное оформление ЖД грузов",INDEX('ЖД грузы'!D:D,MATCH(A8,'ЖД грузы'!A:A,0)),""))))),"")</f>
        <v>Подписание ген акта, А/И агентом. Ведомость направляется агенту автоматически</v>
      </c>
      <c r="E8" s="16" t="str">
        <f>IFERROR(IF(K8="Обработка судовых документов",INDEX('Судовые документы'!E:E,MATCH(A8,'Судовые документы'!A:A,0)),IF(K8="Оформление таможенных документов",INDEX('Таможенные документы'!E:E,MATCH(A8,'Таможенные документы'!A:A,0)),IF(K8="Оформление экспортных грузов",INDEX('Экспортные грузы'!E:E,MATCH(A8,'Экспортные грузы'!A:A,0)),IF(K8="Терминальные операции",INDEX(Терминал!E:E,MATCH(A8,Терминал!A:A,0)),IF(K8="Документальное оформление ЖД грузов",INDEX('ЖД грузы'!E:E,MATCH(A8,'ЖД грузы'!A:A,0)),""))))),"")</f>
        <v>выполнено</v>
      </c>
      <c r="F8" s="15" t="str">
        <f>IFERROR(IF(K8="Обработка судовых документов",INDEX('Судовые документы'!F:F,MATCH(A8,'Судовые документы'!A:A,0)),IF(K8="Оформление таможенных документов",INDEX('Таможенные документы'!F:F,MATCH(A8,'Таможенные документы'!A:A,0)),IF(K8="Оформление экспортных грузов",INDEX('Экспортные грузы'!F:F,MATCH(A8,'Экспортные грузы'!A:A,0)),IF(K8="Терминальные операции",INDEX(Терминал!F:F,MATCH(A8,Терминал!A:A,0)),IF(K8="Документальное оформление ЖД грузов",INDEX('ЖД грузы'!F:F,MATCH(A8,'ЖД грузы'!A:A,0)),""))))),"")</f>
        <v>Выполнено</v>
      </c>
      <c r="G8" s="15" t="str">
        <f>IFERROR(IF(K8="Обработка судовых документов",INDEX('Судовые документы'!G:G,MATCH(A8,'Судовые документы'!A:A,0)),IF(K8="Оформление таможенных документов",INDEX('Таможенные документы'!G:G,MATCH(A8,'Таможенные документы'!A:A,0)),IF(K8="Оформление экспортных грузов",INDEX('Экспортные грузы'!G:G,MATCH(A8,'Экспортные грузы'!A:A,0)),IF(K8="Терминальные операции",INDEX(Терминал!G:G,MATCH(A8,Терминал!A:A,0)),IF(K8="Документальное оформление ЖД грузов",INDEX('ЖД грузы'!G:G,MATCH(A8,'ЖД грузы'!A:A,0)),""))))),"")</f>
        <v>Выставлено</v>
      </c>
      <c r="H8" s="17" t="str">
        <f>IFERROR(IF(K8="Обработка судовых документов",INDEX('Судовые документы'!H:H,MATCH(A8,'Судовые документы'!A:A,0)),IF(K8="Оформление таможенных документов",INDEX('Таможенные документы'!H:H,MATCH(A8,'Таможенные документы'!A:A,0)),IF(K8="Оформление экспортных грузов",INDEX('Экспортные грузы'!H:H,MATCH(A8,'Экспортные грузы'!A:A,0)),IF(K8="Терминальные операции",INDEX(Терминал!H:H,MATCH(A8,Терминал!A:A,0)),IF(K8="Документальное оформление ЖД грузов",INDEX('ЖД грузы'!H:H,MATCH(A8,'ЖД грузы'!A:A,0)),""))))),"")</f>
        <v>7.4.5</v>
      </c>
      <c r="I8" s="18">
        <f>IFERROR(IF(K8="Обработка судовых документов",INDEX('Судовые документы'!I:I,MATCH(A8,'Судовые документы'!A:A,0)),IF(K8="Оформление таможенных документов",INDEX('Таможенные документы'!I:I,MATCH(A8,'Таможенные документы'!A:A,0)),IF(K8="Оформление экспортных грузов",INDEX('Экспортные грузы'!I:I,MATCH(A8,'Экспортные грузы'!A:A,0)),IF(K8="Терминальные операции",INDEX(Терминал!I:I,MATCH(A8,Терминал!A:A,0)),IF(K8="Документальное оформление ЖД грузов",INDEX('ЖД грузы'!I:I,MATCH(A8,'ЖД грузы'!A:A,0)),""))))),"")</f>
        <v>110</v>
      </c>
      <c r="J8" s="16" t="str">
        <f>IFERROR(IF(K8="Обработка судовых документов",INDEX('Судовые документы'!J:J,MATCH(A8,'Судовые документы'!A:A,0)),IF(K8="Оформление таможенных документов",INDEX('Таможенные документы'!J:J,MATCH(A8,'Таможенные документы'!A:A,0)),IF(K8="Оформление экспортных грузов",INDEX('Экспортные грузы'!J:J,MATCH(A8,'Экспортные грузы'!A:A,0)),IF(K8="Терминальные операции",INDEX(Терминал!J:J,MATCH(A8,Терминал!A:A,0)),IF(K8="Документальное оформление ЖД грузов",INDEX('ЖД грузы'!J:J,MATCH(A8,'ЖД грузы'!A:A,0)),""))))),"")</f>
        <v>Да</v>
      </c>
      <c r="K8" s="19" t="s">
        <v>16</v>
      </c>
      <c r="L8" s="20" t="str">
        <f>IFERROR(IF(K8="Обработка судовых документов",INDEX('Судовые документы'!L:L,MATCH(A8,'Судовые документы'!A:A,0)),IF(K8="Оформление таможенных документов",INDEX('Таможенные документы'!L:L,MATCH(A8,'Таможенные документы'!A:A,0)),IF(K8="Оформление экспортных грузов",INDEX('Экспортные грузы'!L:L,MATCH(A8,'Экспортные грузы'!A:A,0)),IF(K8="Терминальные операции",INDEX(Терминал!L:L,MATCH(A8,Терминал!A:A,0)),IF(K8="Документальное оформление ЖД грузов",INDEX('ЖД грузы'!L:L,MATCH(A8,'ЖД грузы'!A:A,0)),""))))),"")</f>
        <v>Средний</v>
      </c>
      <c r="M8" s="16">
        <f>IFERROR(IF(K8="Обработка судовых документов",INDEX('Судовые документы'!K:K,MATCH(A8,'Судовые документы'!A:A,0)),IF(K8="Оформление таможенных документов",INDEX('Таможенные документы'!K:K,MATCH(A8,'Таможенные документы'!A:A,0)),IF(K8="Оформление экспортных грузов",INDEX('Экспортные грузы'!K:K,MATCH(A8,'Экспортные грузы'!A:A,0)),IF(K8="Терминальные операции",INDEX(Терминал!K:K,MATCH(A8,Терминал!A:A,0)),IF(K8="Документальное оформление ЖД грузов",INDEX('ЖД грузы'!K:K,MATCH(A8,'ЖД грузы'!A:A,0)),""))))),"")</f>
        <v>0</v>
      </c>
    </row>
    <row r="9" spans="1:13" ht="39.75" customHeight="1" x14ac:dyDescent="0.3">
      <c r="A9" s="3">
        <f>'Судовые документы'!A10</f>
        <v>5</v>
      </c>
      <c r="B9" s="4">
        <f>'Судовые документы'!B10</f>
        <v>0</v>
      </c>
      <c r="C9" s="5" t="str">
        <f>'Судовые документы'!C10</f>
        <v>Ведомость погрузки контейнеров на судно</v>
      </c>
      <c r="D9" s="6" t="str">
        <f>IFERROR(IF(K9="Обработка судовых документов",INDEX('Судовые документы'!D:D,MATCH(A9,'Судовые документы'!A:A,0)),IF(K9="Оформление таможенных документов",INDEX('Таможенные документы'!D:D,MATCH(A9,'Таможенные документы'!A:A,0)),IF(K9="Оформление экспортных грузов",INDEX('Экспортные грузы'!D:D,MATCH(A9,'Экспортные грузы'!A:A,0)),IF(K9="Терминальные операции",INDEX(Терминал!D:D,MATCH(A9,Терминал!A:A,0)),IF(K9="Документальное оформление ЖД грузов",INDEX('ЖД грузы'!D:D,MATCH(A9,'ЖД грузы'!A:A,0)),""))))),"")</f>
        <v>Реализация подписания Ведомости погрузки с использованием ЭП в ЛКК</v>
      </c>
      <c r="E9" s="7" t="str">
        <f>IFERROR(IF(K9="Обработка судовых документов",INDEX('Судовые документы'!E:E,MATCH(A9,'Судовые документы'!A:A,0)),IF(K9="Оформление таможенных документов",INDEX('Таможенные документы'!E:E,MATCH(A9,'Таможенные документы'!A:A,0)),IF(K9="Оформление экспортных грузов",INDEX('Экспортные грузы'!E:E,MATCH(A9,'Экспортные грузы'!A:A,0)),IF(K9="Терминальные операции",INDEX(Терминал!E:E,MATCH(A9,Терминал!A:A,0)),IF(K9="Документальное оформление ЖД грузов",INDEX('ЖД грузы'!E:E,MATCH(A9,'ЖД грузы'!A:A,0)),""))))),"")</f>
        <v>выполнено</v>
      </c>
      <c r="F9" s="6" t="str">
        <f>IFERROR(IF(K9="Обработка судовых документов",INDEX('Судовые документы'!F:F,MATCH(A9,'Судовые документы'!A:A,0)),IF(K9="Оформление таможенных документов",INDEX('Таможенные документы'!F:F,MATCH(A9,'Таможенные документы'!A:A,0)),IF(K9="Оформление экспортных грузов",INDEX('Экспортные грузы'!F:F,MATCH(A9,'Экспортные грузы'!A:A,0)),IF(K9="Терминальные операции",INDEX(Терминал!F:F,MATCH(A9,Терминал!A:A,0)),IF(K9="Документальное оформление ЖД грузов",INDEX('ЖД грузы'!F:F,MATCH(A9,'ЖД грузы'!A:A,0)),""))))),"")</f>
        <v>Выполнено</v>
      </c>
      <c r="G9" s="6" t="str">
        <f>IFERROR(IF(K9="Обработка судовых документов",INDEX('Судовые документы'!G:G,MATCH(A9,'Судовые документы'!A:A,0)),IF(K9="Оформление таможенных документов",INDEX('Таможенные документы'!G:G,MATCH(A9,'Таможенные документы'!A:A,0)),IF(K9="Оформление экспортных грузов",INDEX('Экспортные грузы'!G:G,MATCH(A9,'Экспортные грузы'!A:A,0)),IF(K9="Терминальные операции",INDEX(Терминал!G:G,MATCH(A9,Терминал!A:A,0)),IF(K9="Документальное оформление ЖД грузов",INDEX('ЖД грузы'!G:G,MATCH(A9,'ЖД грузы'!A:A,0)),""))))),"")</f>
        <v>Не СОЛВО</v>
      </c>
      <c r="H9" s="8" t="str">
        <f>IFERROR(IF(K9="Обработка судовых документов",INDEX('Судовые документы'!H:H,MATCH(A9,'Судовые документы'!A:A,0)),IF(K9="Оформление таможенных документов",INDEX('Таможенные документы'!H:H,MATCH(A9,'Таможенные документы'!A:A,0)),IF(K9="Оформление экспортных грузов",INDEX('Экспортные грузы'!H:H,MATCH(A9,'Экспортные грузы'!A:A,0)),IF(K9="Терминальные операции",INDEX(Терминал!H:H,MATCH(A9,Терминал!A:A,0)),IF(K9="Документальное оформление ЖД грузов",INDEX('ЖД грузы'!H:H,MATCH(A9,'ЖД грузы'!A:A,0)),""))))),"")</f>
        <v>Не СОЛВО</v>
      </c>
      <c r="I9" s="9">
        <f>IFERROR(IF(K9="Обработка судовых документов",INDEX('Судовые документы'!I:I,MATCH(A9,'Судовые документы'!A:A,0)),IF(K9="Оформление таможенных документов",INDEX('Таможенные документы'!I:I,MATCH(A9,'Таможенные документы'!A:A,0)),IF(K9="Оформление экспортных грузов",INDEX('Экспортные грузы'!I:I,MATCH(A9,'Экспортные грузы'!A:A,0)),IF(K9="Терминальные операции",INDEX(Терминал!I:I,MATCH(A9,Терминал!A:A,0)),IF(K9="Документальное оформление ЖД грузов",INDEX('ЖД грузы'!I:I,MATCH(A9,'ЖД грузы'!A:A,0)),""))))),"")</f>
        <v>0</v>
      </c>
      <c r="J9" s="7" t="str">
        <f>IFERROR(IF(K9="Обработка судовых документов",INDEX('Судовые документы'!J:J,MATCH(A9,'Судовые документы'!A:A,0)),IF(K9="Оформление таможенных документов",INDEX('Таможенные документы'!J:J,MATCH(A9,'Таможенные документы'!A:A,0)),IF(K9="Оформление экспортных грузов",INDEX('Экспортные грузы'!J:J,MATCH(A9,'Экспортные грузы'!A:A,0)),IF(K9="Терминальные операции",INDEX(Терминал!J:J,MATCH(A9,Терминал!A:A,0)),IF(K9="Документальное оформление ЖД грузов",INDEX('ЖД грузы'!J:J,MATCH(A9,'ЖД грузы'!A:A,0)),""))))),"")</f>
        <v>Да</v>
      </c>
      <c r="K9" s="10" t="s">
        <v>16</v>
      </c>
      <c r="L9" s="11" t="str">
        <f>IFERROR(IF(K9="Обработка судовых документов",INDEX('Судовые документы'!L:L,MATCH(A9,'Судовые документы'!A:A,0)),IF(K9="Оформление таможенных документов",INDEX('Таможенные документы'!L:L,MATCH(A9,'Таможенные документы'!A:A,0)),IF(K9="Оформление экспортных грузов",INDEX('Экспортные грузы'!L:L,MATCH(A9,'Экспортные грузы'!A:A,0)),IF(K9="Терминальные операции",INDEX(Терминал!L:L,MATCH(A9,Терминал!A:A,0)),IF(K9="Документальное оформление ЖД грузов",INDEX('ЖД грузы'!L:L,MATCH(A9,'ЖД грузы'!A:A,0)),""))))),"")</f>
        <v>Средний</v>
      </c>
      <c r="M9" s="7">
        <f>IFERROR(IF(K9="Обработка судовых документов",INDEX('Судовые документы'!K:K,MATCH(A9,'Судовые документы'!A:A,0)),IF(K9="Оформление таможенных документов",INDEX('Таможенные документы'!K:K,MATCH(A9,'Таможенные документы'!A:A,0)),IF(K9="Оформление экспортных грузов",INDEX('Экспортные грузы'!K:K,MATCH(A9,'Экспортные грузы'!A:A,0)),IF(K9="Терминальные операции",INDEX(Терминал!K:K,MATCH(A9,Терминал!A:A,0)),IF(K9="Документальное оформление ЖД грузов",INDEX('ЖД грузы'!K:K,MATCH(A9,'ЖД грузы'!A:A,0)),""))))),"")</f>
        <v>0</v>
      </c>
    </row>
    <row r="10" spans="1:13" ht="39.75" customHeight="1" x14ac:dyDescent="0.3">
      <c r="A10" s="12">
        <f>'Судовые документы'!A11</f>
        <v>6</v>
      </c>
      <c r="B10" s="13" t="str">
        <f>'Судовые документы'!B11</f>
        <v>4SC-RQ-CR-984 #4012275</v>
      </c>
      <c r="C10" s="14" t="str">
        <f>'Судовые документы'!C11</f>
        <v>Приемка трансшипмента, ПРР 2й категории</v>
      </c>
      <c r="D10" s="15" t="str">
        <f>IFERROR(IF(K10="Обработка судовых документов",INDEX('Судовые документы'!D:D,MATCH(A10,'Судовые документы'!A:A,0)),IF(K10="Оформление таможенных документов",INDEX('Таможенные документы'!D:D,MATCH(A10,'Таможенные документы'!A:A,0)),IF(K10="Оформление экспортных грузов",INDEX('Экспортные грузы'!D:D,MATCH(A10,'Экспортные грузы'!A:A,0)),IF(K10="Терминальные операции",INDEX(Терминал!D:D,MATCH(A10,Терминал!A:A,0)),IF(K10="Документальное оформление ЖД грузов",INDEX('ЖД грузы'!D:D,MATCH(A10,'ЖД грузы'!A:A,0)),""))))),"")</f>
        <v>Обработка трансшипмента при загрузке коносамента</v>
      </c>
      <c r="E10" s="16" t="str">
        <f>IFERROR(IF(K10="Обработка судовых документов",INDEX('Судовые документы'!E:E,MATCH(A10,'Судовые документы'!A:A,0)),IF(K10="Оформление таможенных документов",INDEX('Таможенные документы'!E:E,MATCH(A10,'Таможенные документы'!A:A,0)),IF(K10="Оформление экспортных грузов",INDEX('Экспортные грузы'!E:E,MATCH(A10,'Экспортные грузы'!A:A,0)),IF(K10="Терминальные операции",INDEX(Терминал!E:E,MATCH(A10,Терминал!A:A,0)),IF(K10="Документальное оформление ЖД грузов",INDEX('ЖД грузы'!E:E,MATCH(A10,'ЖД грузы'!A:A,0)),""))))),"")</f>
        <v>май 2026</v>
      </c>
      <c r="F10" s="15" t="str">
        <f>IFERROR(IF(K10="Обработка судовых документов",INDEX('Судовые документы'!F:F,MATCH(A10,'Судовые документы'!A:A,0)),IF(K10="Оформление таможенных документов",INDEX('Таможенные документы'!F:F,MATCH(A10,'Таможенные документы'!A:A,0)),IF(K10="Оформление экспортных грузов",INDEX('Экспортные грузы'!F:F,MATCH(A10,'Экспортные грузы'!A:A,0)),IF(K10="Терминальные операции",INDEX(Терминал!F:F,MATCH(A10,Терминал!A:A,0)),IF(K10="Документальное оформление ЖД грузов",INDEX('ЖД грузы'!F:F,MATCH(A10,'ЖД грузы'!A:A,0)),""))))),"")</f>
        <v>В работе</v>
      </c>
      <c r="G10" s="15" t="str">
        <f>IFERROR(IF(K10="Обработка судовых документов",INDEX('Судовые документы'!G:G,MATCH(A10,'Судовые документы'!A:A,0)),IF(K10="Оформление таможенных документов",INDEX('Таможенные документы'!G:G,MATCH(A10,'Таможенные документы'!A:A,0)),IF(K10="Оформление экспортных грузов",INDEX('Экспортные грузы'!G:G,MATCH(A10,'Экспортные грузы'!A:A,0)),IF(K10="Терминальные операции",INDEX(Терминал!G:G,MATCH(A10,Терминал!A:A,0)),IF(K10="Документальное оформление ЖД грузов",INDEX('ЖД грузы'!G:G,MATCH(A10,'ЖД грузы'!A:A,0)),""))))),"")</f>
        <v>Разработка</v>
      </c>
      <c r="H10" s="17" t="str">
        <f>IFERROR(IF(K10="Обработка судовых документов",INDEX('Судовые документы'!H:H,MATCH(A10,'Судовые документы'!A:A,0)),IF(K10="Оформление таможенных документов",INDEX('Таможенные документы'!H:H,MATCH(A10,'Таможенные документы'!A:A,0)),IF(K10="Оформление экспортных грузов",INDEX('Экспортные грузы'!H:H,MATCH(A10,'Экспортные грузы'!A:A,0)),IF(K10="Терминальные операции",INDEX(Терминал!H:H,MATCH(A10,Терминал!A:A,0)),IF(K10="Документальное оформление ЖД грузов",INDEX('ЖД грузы'!H:H,MATCH(A10,'ЖД грузы'!A:A,0)),""))))),"")</f>
        <v>7.4.10</v>
      </c>
      <c r="I10" s="18">
        <f>IFERROR(IF(K10="Обработка судовых документов",INDEX('Судовые документы'!I:I,MATCH(A10,'Судовые документы'!A:A,0)),IF(K10="Оформление таможенных документов",INDEX('Таможенные документы'!I:I,MATCH(A10,'Таможенные документы'!A:A,0)),IF(K10="Оформление экспортных грузов",INDEX('Экспортные грузы'!I:I,MATCH(A10,'Экспортные грузы'!A:A,0)),IF(K10="Терминальные операции",INDEX(Терминал!I:I,MATCH(A10,Терминал!A:A,0)),IF(K10="Документальное оформление ЖД грузов",INDEX('ЖД грузы'!I:I,MATCH(A10,'ЖД грузы'!A:A,0)),""))))),"")</f>
        <v>24</v>
      </c>
      <c r="J10" s="16" t="str">
        <f>IFERROR(IF(K10="Обработка судовых документов",INDEX('Судовые документы'!J:J,MATCH(A10,'Судовые документы'!A:A,0)),IF(K10="Оформление таможенных документов",INDEX('Таможенные документы'!J:J,MATCH(A10,'Таможенные документы'!A:A,0)),IF(K10="Оформление экспортных грузов",INDEX('Экспортные грузы'!J:J,MATCH(A10,'Экспортные грузы'!A:A,0)),IF(K10="Терминальные операции",INDEX(Терминал!J:J,MATCH(A10,Терминал!A:A,0)),IF(K10="Документальное оформление ЖД грузов",INDEX('ЖД грузы'!J:J,MATCH(A10,'ЖД грузы'!A:A,0)),""))))),"")</f>
        <v>Да</v>
      </c>
      <c r="K10" s="19" t="s">
        <v>16</v>
      </c>
      <c r="L10" s="20" t="str">
        <f>IFERROR(IF(K10="Обработка судовых документов",INDEX('Судовые документы'!L:L,MATCH(A10,'Судовые документы'!A:A,0)),IF(K10="Оформление таможенных документов",INDEX('Таможенные документы'!L:L,MATCH(A10,'Таможенные документы'!A:A,0)),IF(K10="Оформление экспортных грузов",INDEX('Экспортные грузы'!L:L,MATCH(A10,'Экспортные грузы'!A:A,0)),IF(K10="Терминальные операции",INDEX(Терминал!L:L,MATCH(A10,Терминал!A:A,0)),IF(K10="Документальное оформление ЖД грузов",INDEX('ЖД грузы'!L:L,MATCH(A10,'ЖД грузы'!A:A,0)),""))))),"")</f>
        <v>Средний</v>
      </c>
      <c r="M10" s="16">
        <f>IFERROR(IF(K10="Обработка судовых документов",INDEX('Судовые документы'!K:K,MATCH(A10,'Судовые документы'!A:A,0)),IF(K10="Оформление таможенных документов",INDEX('Таможенные документы'!K:K,MATCH(A10,'Таможенные документы'!A:A,0)),IF(K10="Оформление экспортных грузов",INDEX('Экспортные грузы'!K:K,MATCH(A10,'Экспортные грузы'!A:A,0)),IF(K10="Терминальные операции",INDEX(Терминал!K:K,MATCH(A10,Терминал!A:A,0)),IF(K10="Документальное оформление ЖД грузов",INDEX('ЖД грузы'!K:K,MATCH(A10,'ЖД грузы'!A:A,0)),""))))),"")</f>
        <v>0</v>
      </c>
    </row>
    <row r="11" spans="1:13" ht="39.75" customHeight="1" x14ac:dyDescent="0.3">
      <c r="A11" s="112">
        <f>'Судовые документы'!A12</f>
        <v>7</v>
      </c>
      <c r="B11" s="113" t="str">
        <f>'Судовые документы'!B12</f>
        <v>4SC-RQ-CR-988 #4032163</v>
      </c>
      <c r="C11" s="114" t="str">
        <f>'Судовые документы'!C12</f>
        <v>Обработка на т/х порожних контейнеров (каботаж)</v>
      </c>
      <c r="D11" s="115" t="s">
        <v>82</v>
      </c>
      <c r="E11" s="116">
        <v>2026</v>
      </c>
      <c r="F11" s="115" t="s">
        <v>29</v>
      </c>
      <c r="G11" s="115" t="s">
        <v>47</v>
      </c>
      <c r="H11" s="117" t="s">
        <v>51</v>
      </c>
      <c r="I11" s="118">
        <v>0</v>
      </c>
      <c r="J11" s="116" t="s">
        <v>64</v>
      </c>
      <c r="K11" s="119" t="s">
        <v>16</v>
      </c>
      <c r="L11" s="120" t="s">
        <v>65</v>
      </c>
      <c r="M11" s="116">
        <f>IFERROR(IF(K11="Обработка судовых документов",INDEX('Судовые документы'!K:K,MATCH(A11,'Судовые документы'!A:A,0)),IF(K11="Оформление таможенных документов",INDEX('Таможенные документы'!K:K,MATCH(A11,'Таможенные документы'!A:A,0)),IF(K11="Оформление экспортных грузов",INDEX('Экспортные грузы'!K:K,MATCH(A11,'Экспортные грузы'!A:A,0)),IF(K11="Терминальные операции",INDEX(Терминал!K:K,MATCH(A11,Терминал!A:A,0)),IF(K11="Документальное оформление ЖД грузов",INDEX('ЖД грузы'!K:K,MATCH(A11,'ЖД грузы'!A:A,0)),""))))),"")</f>
        <v>0</v>
      </c>
    </row>
    <row r="12" spans="1:13" ht="21.75" customHeight="1" x14ac:dyDescent="0.3">
      <c r="A12" s="130" t="s">
        <v>17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</row>
    <row r="13" spans="1:13" ht="39.75" customHeight="1" x14ac:dyDescent="0.3">
      <c r="A13" s="3">
        <f>'Таможенные документы'!A6</f>
        <v>8</v>
      </c>
      <c r="B13" s="4" t="str">
        <f>'Таможенные документы'!B6</f>
        <v>4SC-1-RQ-CR-342 #2361714</v>
      </c>
      <c r="C13" s="5" t="str">
        <f>'Таможенные документы'!C6</f>
        <v>Контроль выпуска и автоматизация ДО 2</v>
      </c>
      <c r="D13" s="6" t="str">
        <f>IFERROR(IF(K13="Обработка судовых документов",INDEX('Судовые документы'!D:D,MATCH(A13,'Судовые документы'!A:A,0)),IF(K13="Оформление таможенных документов",INDEX('Таможенные документы'!D:D,MATCH(A13,'Таможенные документы'!A:A,0)),IF(K13="Оформление экспортных грузов",INDEX('Экспортные грузы'!D:D,MATCH(A13,'Экспортные грузы'!A:A,0)),IF(K13="Терминальные операции",INDEX(Терминал!D:D,MATCH(A13,Терминал!A:A,0)),IF(K13="Документальное оформление ЖД грузов",INDEX('ЖД грузы'!D:D,MATCH(A13,'ЖД грузы'!A:A,0)),""))))),"")</f>
        <v>Создание КА в СОЛВО, автоматическое формирование и отправка ДО2</v>
      </c>
      <c r="E13" s="7" t="str">
        <f>IFERROR(IF(K13="Обработка судовых документов",INDEX('Судовые документы'!E:E,MATCH(A13,'Судовые документы'!A:A,0)),IF(K13="Оформление таможенных документов",INDEX('Таможенные документы'!E:E,MATCH(A13,'Таможенные документы'!A:A,0)),IF(K13="Оформление экспортных грузов",INDEX('Экспортные грузы'!E:E,MATCH(A13,'Экспортные грузы'!A:A,0)),IF(K13="Терминальные операции",INDEX(Терминал!E:E,MATCH(A13,Терминал!A:A,0)),IF(K13="Документальное оформление ЖД грузов",INDEX('ЖД грузы'!E:E,MATCH(A13,'ЖД грузы'!A:A,0)),""))))),"")</f>
        <v>выполнено</v>
      </c>
      <c r="F13" s="6" t="str">
        <f>IFERROR(IF(K13="Обработка судовых документов",INDEX('Судовые документы'!F:F,MATCH(A13,'Судовые документы'!A:A,0)),IF(K13="Оформление таможенных документов",INDEX('Таможенные документы'!F:F,MATCH(A13,'Таможенные документы'!A:A,0)),IF(K13="Оформление экспортных грузов",INDEX('Экспортные грузы'!F:F,MATCH(A13,'Экспортные грузы'!A:A,0)),IF(K13="Терминальные операции",INDEX(Терминал!F:F,MATCH(A13,Терминал!A:A,0)),IF(K13="Документальное оформление ЖД грузов",INDEX('ЖД грузы'!F:F,MATCH(A13,'ЖД грузы'!A:A,0)),""))))),"")</f>
        <v>В работе</v>
      </c>
      <c r="G13" s="6" t="str">
        <f>IFERROR(IF(K13="Обработка судовых документов",INDEX('Судовые документы'!G:G,MATCH(A13,'Судовые документы'!A:A,0)),IF(K13="Оформление таможенных документов",INDEX('Таможенные документы'!G:G,MATCH(A13,'Таможенные документы'!A:A,0)),IF(K13="Оформление экспортных грузов",INDEX('Экспортные грузы'!G:G,MATCH(A13,'Экспортные грузы'!A:A,0)),IF(K13="Терминальные операции",INDEX(Терминал!G:G,MATCH(A13,Терминал!A:A,0)),IF(K13="Документальное оформление ЖД грузов",INDEX('ЖД грузы'!G:G,MATCH(A13,'ЖД грузы'!A:A,0)),""))))),"")</f>
        <v>Установлено</v>
      </c>
      <c r="H13" s="8" t="str">
        <f>IFERROR(IF(K13="Обработка судовых документов",INDEX('Судовые документы'!H:H,MATCH(A13,'Судовые документы'!A:A,0)),IF(K13="Оформление таможенных документов",INDEX('Таможенные документы'!H:H,MATCH(A13,'Таможенные документы'!A:A,0)),IF(K13="Оформление экспортных грузов",INDEX('Экспортные грузы'!H:H,MATCH(A13,'Экспортные грузы'!A:A,0)),IF(K13="Терминальные операции",INDEX(Терминал!H:H,MATCH(A13,Терминал!A:A,0)),IF(K13="Документальное оформление ЖД грузов",INDEX('ЖД грузы'!H:H,MATCH(A13,'ЖД грузы'!A:A,0)),""))))),"")</f>
        <v>7.4.4</v>
      </c>
      <c r="I13" s="9">
        <f>IFERROR(IF(K13="Обработка судовых документов",INDEX('Судовые документы'!I:I,MATCH(A13,'Судовые документы'!A:A,0)),IF(K13="Оформление таможенных документов",INDEX('Таможенные документы'!I:I,MATCH(A13,'Таможенные документы'!A:A,0)),IF(K13="Оформление экспортных грузов",INDEX('Экспортные грузы'!I:I,MATCH(A13,'Экспортные грузы'!A:A,0)),IF(K13="Терминальные операции",INDEX(Терминал!I:I,MATCH(A13,Терминал!A:A,0)),IF(K13="Документальное оформление ЖД грузов",INDEX('ЖД грузы'!I:I,MATCH(A13,'ЖД грузы'!A:A,0)),""))))),"")</f>
        <v>780</v>
      </c>
      <c r="J13" s="7" t="str">
        <f>IFERROR(IF(K13="Обработка судовых документов",INDEX('Судовые документы'!J:J,MATCH(A13,'Судовые документы'!A:A,0)),IF(K13="Оформление таможенных документов",INDEX('Таможенные документы'!J:J,MATCH(A13,'Таможенные документы'!A:A,0)),IF(K13="Оформление экспортных грузов",INDEX('Экспортные грузы'!J:J,MATCH(A13,'Экспортные грузы'!A:A,0)),IF(K13="Терминальные операции",INDEX(Терминал!J:J,MATCH(A13,Терминал!A:A,0)),IF(K13="Документальное оформление ЖД грузов",INDEX('ЖД грузы'!J:J,MATCH(A13,'ЖД грузы'!A:A,0)),""))))),"")</f>
        <v>Да</v>
      </c>
      <c r="K13" s="10" t="s">
        <v>18</v>
      </c>
      <c r="L13" s="11" t="str">
        <f>IFERROR(IF(K13="Обработка судовых документов",INDEX('Судовые документы'!L:L,MATCH(A13,'Судовые документы'!A:A,0)),IF(K13="Оформление таможенных документов",INDEX('Таможенные документы'!L:L,MATCH(A13,'Таможенные документы'!A:A,0)),IF(K13="Оформление экспортных грузов",INDEX('Экспортные грузы'!L:L,MATCH(A13,'Экспортные грузы'!A:A,0)),IF(K13="Терминальные операции",INDEX(Терминал!L:L,MATCH(A13,Терминал!A:A,0)),IF(K13="Документальное оформление ЖД грузов",INDEX('ЖД грузы'!L:L,MATCH(A13,'ЖД грузы'!A:A,0)),""))))),"")</f>
        <v>Средний</v>
      </c>
      <c r="M13" s="7">
        <f>IFERROR(IF(K13="Обработка судовых документов",INDEX('Судовые документы'!K:K,MATCH(A13,'Судовые документы'!A:A,0)),IF(K13="Оформление таможенных документов",INDEX('Таможенные документы'!K:K,MATCH(A13,'Таможенные документы'!A:A,0)),IF(K13="Оформление экспортных грузов",INDEX('Экспортные грузы'!K:K,MATCH(A13,'Экспортные грузы'!A:A,0)),IF(K13="Терминальные операции",INDEX(Терминал!K:K,MATCH(A13,Терминал!A:A,0)),IF(K13="Документальное оформление ЖД грузов",INDEX('ЖД грузы'!K:K,MATCH(A13,'ЖД грузы'!A:A,0)),""))))),"")</f>
        <v>0</v>
      </c>
    </row>
    <row r="14" spans="1:13" ht="39.75" customHeight="1" x14ac:dyDescent="0.3">
      <c r="A14" s="12">
        <f>'Таможенные документы'!A7</f>
        <v>9</v>
      </c>
      <c r="B14" s="13" t="str">
        <f>'Таможенные документы'!B7</f>
        <v>4SC-RQ-CR-704 #3030536</v>
      </c>
      <c r="C14" s="14" t="str">
        <f>'Таможенные документы'!C7</f>
        <v>ВТТ транзит для Бананов</v>
      </c>
      <c r="D14" s="15" t="str">
        <f>IFERROR(IF(K14="Обработка судовых документов",INDEX('Судовые документы'!D:D,MATCH(A14,'Судовые документы'!A:A,0)),IF(K14="Оформление таможенных документов",INDEX('Таможенные документы'!D:D,MATCH(A14,'Таможенные документы'!A:A,0)),IF(K14="Оформление экспортных грузов",INDEX('Экспортные грузы'!D:D,MATCH(A14,'Экспортные грузы'!A:A,0)),IF(K14="Терминальные операции",INDEX(Терминал!D:D,MATCH(A14,Терминал!A:A,0)),IF(K14="Документальное оформление ЖД грузов",INDEX('ЖД грузы'!D:D,MATCH(A14,'ЖД грузы'!A:A,0)),""))))),"")</f>
        <v>Автоматическая прогрузка таможенного разрешения после получения уведомления</v>
      </c>
      <c r="E14" s="16" t="str">
        <f>IFERROR(IF(K14="Обработка судовых документов",INDEX('Судовые документы'!E:E,MATCH(A14,'Судовые документы'!A:A,0)),IF(K14="Оформление таможенных документов",INDEX('Таможенные документы'!E:E,MATCH(A14,'Таможенные документы'!A:A,0)),IF(K14="Оформление экспортных грузов",INDEX('Экспортные грузы'!E:E,MATCH(A14,'Экспортные грузы'!A:A,0)),IF(K14="Терминальные операции",INDEX(Терминал!E:E,MATCH(A14,Терминал!A:A,0)),IF(K14="Документальное оформление ЖД грузов",INDEX('ЖД грузы'!E:E,MATCH(A14,'ЖД грузы'!A:A,0)),""))))),"")</f>
        <v>2026</v>
      </c>
      <c r="F14" s="15" t="str">
        <f>IFERROR(IF(K14="Обработка судовых документов",INDEX('Судовые документы'!F:F,MATCH(A14,'Судовые документы'!A:A,0)),IF(K14="Оформление таможенных документов",INDEX('Таможенные документы'!F:F,MATCH(A14,'Таможенные документы'!A:A,0)),IF(K14="Оформление экспортных грузов",INDEX('Экспортные грузы'!F:F,MATCH(A14,'Экспортные грузы'!A:A,0)),IF(K14="Терминальные операции",INDEX(Терминал!F:F,MATCH(A14,Терминал!A:A,0)),IF(K14="Документальное оформление ЖД грузов",INDEX('ЖД грузы'!F:F,MATCH(A14,'ЖД грузы'!A:A,0)),""))))),"")</f>
        <v>В работе</v>
      </c>
      <c r="G14" s="15" t="str">
        <f>IFERROR(IF(K14="Обработка судовых документов",INDEX('Судовые документы'!G:G,MATCH(A14,'Судовые документы'!A:A,0)),IF(K14="Оформление таможенных документов",INDEX('Таможенные документы'!G:G,MATCH(A14,'Таможенные документы'!A:A,0)),IF(K14="Оформление экспортных грузов",INDEX('Экспортные грузы'!G:G,MATCH(A14,'Экспортные грузы'!A:A,0)),IF(K14="Терминальные операции",INDEX(Терминал!G:G,MATCH(A14,Терминал!A:A,0)),IF(K14="Документальное оформление ЖД грузов",INDEX('ЖД грузы'!G:G,MATCH(A14,'ЖД грузы'!A:A,0)),""))))),"")</f>
        <v>Аналитика</v>
      </c>
      <c r="H14" s="17" t="str">
        <f>IFERROR(IF(K14="Обработка судовых документов",INDEX('Судовые документы'!H:H,MATCH(A14,'Судовые документы'!A:A,0)),IF(K14="Оформление таможенных документов",INDEX('Таможенные документы'!H:H,MATCH(A14,'Таможенные документы'!A:A,0)),IF(K14="Оформление экспортных грузов",INDEX('Экспортные грузы'!H:H,MATCH(A14,'Экспортные грузы'!A:A,0)),IF(K14="Терминальные операции",INDEX(Терминал!H:H,MATCH(A14,Терминал!A:A,0)),IF(K14="Документальное оформление ЖД грузов",INDEX('ЖД грузы'!H:H,MATCH(A14,'ЖД грузы'!A:A,0)),""))))),"")</f>
        <v>7.4.11</v>
      </c>
      <c r="I14" s="18">
        <f>IFERROR(IF(K14="Обработка судовых документов",INDEX('Судовые документы'!I:I,MATCH(A14,'Судовые документы'!A:A,0)),IF(K14="Оформление таможенных документов",INDEX('Таможенные документы'!I:I,MATCH(A14,'Таможенные документы'!A:A,0)),IF(K14="Оформление экспортных грузов",INDEX('Экспортные грузы'!I:I,MATCH(A14,'Экспортные грузы'!A:A,0)),IF(K14="Терминальные операции",INDEX(Терминал!I:I,MATCH(A14,Терминал!A:A,0)),IF(K14="Документальное оформление ЖД грузов",INDEX('ЖД грузы'!I:I,MATCH(A14,'ЖД грузы'!A:A,0)),""))))),"")</f>
        <v>0</v>
      </c>
      <c r="J14" s="16" t="str">
        <f>IFERROR(IF(K14="Обработка судовых документов",INDEX('Судовые документы'!J:J,MATCH(A14,'Судовые документы'!A:A,0)),IF(K14="Оформление таможенных документов",INDEX('Таможенные документы'!J:J,MATCH(A14,'Таможенные документы'!A:A,0)),IF(K14="Оформление экспортных грузов",INDEX('Экспортные грузы'!J:J,MATCH(A14,'Экспортные грузы'!A:A,0)),IF(K14="Терминальные операции",INDEX(Терминал!J:J,MATCH(A14,Терминал!A:A,0)),IF(K14="Документальное оформление ЖД грузов",INDEX('ЖД грузы'!J:J,MATCH(A14,'ЖД грузы'!A:A,0)),""))))),"")</f>
        <v>Нет</v>
      </c>
      <c r="K14" s="19" t="s">
        <v>18</v>
      </c>
      <c r="L14" s="20" t="str">
        <f>IFERROR(IF(K14="Обработка судовых документов",INDEX('Судовые документы'!L:L,MATCH(A14,'Судовые документы'!A:A,0)),IF(K14="Оформление таможенных документов",INDEX('Таможенные документы'!L:L,MATCH(A14,'Таможенные документы'!A:A,0)),IF(K14="Оформление экспортных грузов",INDEX('Экспортные грузы'!L:L,MATCH(A14,'Экспортные грузы'!A:A,0)),IF(K14="Терминальные операции",INDEX(Терминал!L:L,MATCH(A14,Терминал!A:A,0)),IF(K14="Документальное оформление ЖД грузов",INDEX('ЖД грузы'!L:L,MATCH(A14,'ЖД грузы'!A:A,0)),""))))),"")</f>
        <v>Средний</v>
      </c>
      <c r="M14" s="16">
        <f>IFERROR(IF(K14="Обработка судовых документов",INDEX('Судовые документы'!K:K,MATCH(A14,'Судовые документы'!A:A,0)),IF(K14="Оформление таможенных документов",INDEX('Таможенные документы'!K:K,MATCH(A14,'Таможенные документы'!A:A,0)),IF(K14="Оформление экспортных грузов",INDEX('Экспортные грузы'!K:K,MATCH(A14,'Экспортные грузы'!A:A,0)),IF(K14="Терминальные операции",INDEX(Терминал!K:K,MATCH(A14,Терминал!A:A,0)),IF(K14="Документальное оформление ЖД грузов",INDEX('ЖД грузы'!K:K,MATCH(A14,'ЖД грузы'!A:A,0)),""))))),"")</f>
        <v>0</v>
      </c>
    </row>
    <row r="15" spans="1:13" ht="39.75" customHeight="1" x14ac:dyDescent="0.3">
      <c r="A15" s="3">
        <f>'Таможенные документы'!A8</f>
        <v>10</v>
      </c>
      <c r="B15" s="4" t="str">
        <f>'Таможенные документы'!B8</f>
        <v>4SC-RQ-CR-912 #3936824</v>
      </c>
      <c r="C15" s="5" t="str">
        <f>'Таможенные документы'!C8</f>
        <v>Таможенные разрешения в СОЛВО 7</v>
      </c>
      <c r="D15" s="6" t="str">
        <f>IFERROR(IF(K15="Обработка судовых документов",INDEX('Судовые документы'!D:D,MATCH(A15,'Судовые документы'!A:A,0)),IF(K15="Оформление таможенных документов",INDEX('Таможенные документы'!D:D,MATCH(A15,'Таможенные документы'!A:A,0)),IF(K15="Оформление экспортных грузов",INDEX('Экспортные грузы'!D:D,MATCH(A15,'Экспортные грузы'!A:A,0)),IF(K15="Терминальные операции",INDEX(Терминал!D:D,MATCH(A15,Терминал!A:A,0)),IF(K15="Документальное оформление ЖД грузов",INDEX('ЖД грузы'!D:D,MATCH(A15,'ЖД грузы'!A:A,0)),""))))),"")</f>
        <v>Функционал работы с Таможенными разрешениями + контроль весов</v>
      </c>
      <c r="E15" s="7" t="str">
        <f>IFERROR(IF(K15="Обработка судовых документов",INDEX('Судовые документы'!E:E,MATCH(A15,'Судовые документы'!A:A,0)),IF(K15="Оформление таможенных документов",INDEX('Таможенные документы'!E:E,MATCH(A15,'Таможенные документы'!A:A,0)),IF(K15="Оформление экспортных грузов",INDEX('Экспортные грузы'!E:E,MATCH(A15,'Экспортные грузы'!A:A,0)),IF(K15="Терминальные операции",INDEX(Терминал!E:E,MATCH(A15,Терминал!A:A,0)),IF(K15="Документальное оформление ЖД грузов",INDEX('ЖД грузы'!E:E,MATCH(A15,'ЖД грузы'!A:A,0)),""))))),"")</f>
        <v>2026</v>
      </c>
      <c r="F15" s="6" t="str">
        <f>IFERROR(IF(K15="Обработка судовых документов",INDEX('Судовые документы'!F:F,MATCH(A15,'Судовые документы'!A:A,0)),IF(K15="Оформление таможенных документов",INDEX('Таможенные документы'!F:F,MATCH(A15,'Таможенные документы'!A:A,0)),IF(K15="Оформление экспортных грузов",INDEX('Экспортные грузы'!F:F,MATCH(A15,'Экспортные грузы'!A:A,0)),IF(K15="Терминальные операции",INDEX(Терминал!F:F,MATCH(A15,Терминал!A:A,0)),IF(K15="Документальное оформление ЖД грузов",INDEX('ЖД грузы'!F:F,MATCH(A15,'ЖД грузы'!A:A,0)),""))))),"")</f>
        <v>В работе</v>
      </c>
      <c r="G15" s="6" t="str">
        <f>IFERROR(IF(K15="Обработка судовых документов",INDEX('Судовые документы'!G:G,MATCH(A15,'Судовые документы'!A:A,0)),IF(K15="Оформление таможенных документов",INDEX('Таможенные документы'!G:G,MATCH(A15,'Таможенные документы'!A:A,0)),IF(K15="Оформление экспортных грузов",INDEX('Экспортные грузы'!G:G,MATCH(A15,'Экспортные грузы'!A:A,0)),IF(K15="Терминальные операции",INDEX(Терминал!G:G,MATCH(A15,Терминал!A:A,0)),IF(K15="Документальное оформление ЖД грузов",INDEX('ЖД грузы'!G:G,MATCH(A15,'ЖД грузы'!A:A,0)),""))))),"")</f>
        <v>Аналитика</v>
      </c>
      <c r="H15" s="8" t="str">
        <f>IFERROR(IF(K15="Обработка судовых документов",INDEX('Судовые документы'!H:H,MATCH(A15,'Судовые документы'!A:A,0)),IF(K15="Оформление таможенных документов",INDEX('Таможенные документы'!H:H,MATCH(A15,'Таможенные документы'!A:A,0)),IF(K15="Оформление экспортных грузов",INDEX('Экспортные грузы'!H:H,MATCH(A15,'Экспортные грузы'!A:A,0)),IF(K15="Терминальные операции",INDEX(Терминал!H:H,MATCH(A15,Терминал!A:A,0)),IF(K15="Документальное оформление ЖД грузов",INDEX('ЖД грузы'!H:H,MATCH(A15,'ЖД грузы'!A:A,0)),""))))),"")</f>
        <v>7.4.11</v>
      </c>
      <c r="I15" s="9">
        <f>IFERROR(IF(K15="Обработка судовых документов",INDEX('Судовые документы'!I:I,MATCH(A15,'Судовые документы'!A:A,0)),IF(K15="Оформление таможенных документов",INDEX('Таможенные документы'!I:I,MATCH(A15,'Таможенные документы'!A:A,0)),IF(K15="Оформление экспортных грузов",INDEX('Экспортные грузы'!I:I,MATCH(A15,'Экспортные грузы'!A:A,0)),IF(K15="Терминальные операции",INDEX(Терминал!I:I,MATCH(A15,Терминал!A:A,0)),IF(K15="Документальное оформление ЖД грузов",INDEX('ЖД грузы'!I:I,MATCH(A15,'ЖД грузы'!A:A,0)),""))))),"")</f>
        <v>0</v>
      </c>
      <c r="J15" s="7" t="str">
        <f>IFERROR(IF(K15="Обработка судовых документов",INDEX('Судовые документы'!J:J,MATCH(A15,'Судовые документы'!A:A,0)),IF(K15="Оформление таможенных документов",INDEX('Таможенные документы'!J:J,MATCH(A15,'Таможенные документы'!A:A,0)),IF(K15="Оформление экспортных грузов",INDEX('Экспортные грузы'!J:J,MATCH(A15,'Экспортные грузы'!A:A,0)),IF(K15="Терминальные операции",INDEX(Терминал!J:J,MATCH(A15,Терминал!A:A,0)),IF(K15="Документальное оформление ЖД грузов",INDEX('ЖД грузы'!J:J,MATCH(A15,'ЖД грузы'!A:A,0)),""))))),"")</f>
        <v>Нет</v>
      </c>
      <c r="K15" s="10" t="s">
        <v>18</v>
      </c>
      <c r="L15" s="11" t="str">
        <f>IFERROR(IF(K15="Обработка судовых документов",INDEX('Судовые документы'!L:L,MATCH(A15,'Судовые документы'!A:A,0)),IF(K15="Оформление таможенных документов",INDEX('Таможенные документы'!L:L,MATCH(A15,'Таможенные документы'!A:A,0)),IF(K15="Оформление экспортных грузов",INDEX('Экспортные грузы'!L:L,MATCH(A15,'Экспортные грузы'!A:A,0)),IF(K15="Терминальные операции",INDEX(Терминал!L:L,MATCH(A15,Терминал!A:A,0)),IF(K15="Документальное оформление ЖД грузов",INDEX('ЖД грузы'!L:L,MATCH(A15,'ЖД грузы'!A:A,0)),""))))),"")</f>
        <v>Средний</v>
      </c>
      <c r="M15" s="7">
        <f>IFERROR(IF(K15="Обработка судовых документов",INDEX('Судовые документы'!K:K,MATCH(A15,'Судовые документы'!A:A,0)),IF(K15="Оформление таможенных документов",INDEX('Таможенные документы'!K:K,MATCH(A15,'Таможенные документы'!A:A,0)),IF(K15="Оформление экспортных грузов",INDEX('Экспортные грузы'!K:K,MATCH(A15,'Экспортные грузы'!A:A,0)),IF(K15="Терминальные операции",INDEX(Терминал!K:K,MATCH(A15,Терминал!A:A,0)),IF(K15="Документальное оформление ЖД грузов",INDEX('ЖД грузы'!K:K,MATCH(A15,'ЖД грузы'!A:A,0)),""))))),"")</f>
        <v>0</v>
      </c>
    </row>
    <row r="16" spans="1:13" ht="39.75" customHeight="1" x14ac:dyDescent="0.3">
      <c r="A16" s="12">
        <f>'Таможенные документы'!A9</f>
        <v>11</v>
      </c>
      <c r="B16" s="13" t="str">
        <f>'Таможенные документы'!B9</f>
        <v>4SC-RQ-CR-567 #2711673</v>
      </c>
      <c r="C16" s="14" t="str">
        <f>'Таможенные документы'!C9</f>
        <v>ЖД импорт</v>
      </c>
      <c r="D16" s="15" t="str">
        <f>IFERROR(IF(K16="Обработка судовых документов",INDEX('Судовые документы'!D:D,MATCH(A16,'Судовые документы'!A:A,0)),IF(K16="Оформление таможенных документов",INDEX('Таможенные документы'!D:D,MATCH(A16,'Таможенные документы'!A:A,0)),IF(K16="Оформление экспортных грузов",INDEX('Экспортные грузы'!D:D,MATCH(A16,'Экспортные грузы'!A:A,0)),IF(K16="Терминальные операции",INDEX(Терминал!D:D,MATCH(A16,Терминал!A:A,0)),IF(K16="Документальное оформление ЖД грузов",INDEX('ЖД грузы'!D:D,MATCH(A16,'ЖД грузы'!A:A,0)),""))))),"")</f>
        <v>ЖД импорт: ДО1, ДО2, ком. акт, растарки</v>
      </c>
      <c r="E16" s="16" t="str">
        <f>IFERROR(IF(K16="Обработка судовых документов",INDEX('Судовые документы'!E:E,MATCH(A16,'Судовые документы'!A:A,0)),IF(K16="Оформление таможенных документов",INDEX('Таможенные документы'!E:E,MATCH(A16,'Таможенные документы'!A:A,0)),IF(K16="Оформление экспортных грузов",INDEX('Экспортные грузы'!E:E,MATCH(A16,'Экспортные грузы'!A:A,0)),IF(K16="Терминальные операции",INDEX(Терминал!E:E,MATCH(A16,Терминал!A:A,0)),IF(K16="Документальное оформление ЖД грузов",INDEX('ЖД грузы'!E:E,MATCH(A16,'ЖД грузы'!A:A,0)),""))))),"")</f>
        <v>2026</v>
      </c>
      <c r="F16" s="15" t="str">
        <f>IFERROR(IF(K16="Обработка судовых документов",INDEX('Судовые документы'!F:F,MATCH(A16,'Судовые документы'!A:A,0)),IF(K16="Оформление таможенных документов",INDEX('Таможенные документы'!F:F,MATCH(A16,'Таможенные документы'!A:A,0)),IF(K16="Оформление экспортных грузов",INDEX('Экспортные грузы'!F:F,MATCH(A16,'Экспортные грузы'!A:A,0)),IF(K16="Терминальные операции",INDEX(Терминал!F:F,MATCH(A16,Терминал!A:A,0)),IF(K16="Документальное оформление ЖД грузов",INDEX('ЖД грузы'!F:F,MATCH(A16,'ЖД грузы'!A:A,0)),""))))),"")</f>
        <v>В работе</v>
      </c>
      <c r="G16" s="15" t="str">
        <f>IFERROR(IF(K16="Обработка судовых документов",INDEX('Судовые документы'!G:G,MATCH(A16,'Судовые документы'!A:A,0)),IF(K16="Оформление таможенных документов",INDEX('Таможенные документы'!G:G,MATCH(A16,'Таможенные документы'!A:A,0)),IF(K16="Оформление экспортных грузов",INDEX('Экспортные грузы'!G:G,MATCH(A16,'Экспортные грузы'!A:A,0)),IF(K16="Терминальные операции",INDEX(Терминал!G:G,MATCH(A16,Терминал!A:A,0)),IF(K16="Документальное оформление ЖД грузов",INDEX('ЖД грузы'!G:G,MATCH(A16,'ЖД грузы'!A:A,0)),""))))),"")</f>
        <v>Аналитика</v>
      </c>
      <c r="H16" s="17" t="str">
        <f>IFERROR(IF(K16="Обработка судовых документов",INDEX('Судовые документы'!H:H,MATCH(A16,'Судовые документы'!A:A,0)),IF(K16="Оформление таможенных документов",INDEX('Таможенные документы'!H:H,MATCH(A16,'Таможенные документы'!A:A,0)),IF(K16="Оформление экспортных грузов",INDEX('Экспортные грузы'!H:H,MATCH(A16,'Экспортные грузы'!A:A,0)),IF(K16="Терминальные операции",INDEX(Терминал!H:H,MATCH(A16,Терминал!A:A,0)),IF(K16="Документальное оформление ЖД грузов",INDEX('ЖД грузы'!H:H,MATCH(A16,'ЖД грузы'!A:A,0)),""))))),"")</f>
        <v>7.4.11</v>
      </c>
      <c r="I16" s="18">
        <f>IFERROR(IF(K16="Обработка судовых документов",INDEX('Судовые документы'!I:I,MATCH(A16,'Судовые документы'!A:A,0)),IF(K16="Оформление таможенных документов",INDEX('Таможенные документы'!I:I,MATCH(A16,'Таможенные документы'!A:A,0)),IF(K16="Оформление экспортных грузов",INDEX('Экспортные грузы'!I:I,MATCH(A16,'Экспортные грузы'!A:A,0)),IF(K16="Терминальные операции",INDEX(Терминал!I:I,MATCH(A16,Терминал!A:A,0)),IF(K16="Документальное оформление ЖД грузов",INDEX('ЖД грузы'!I:I,MATCH(A16,'ЖД грузы'!A:A,0)),""))))),"")</f>
        <v>0</v>
      </c>
      <c r="J16" s="16" t="str">
        <f>IFERROR(IF(K16="Обработка судовых документов",INDEX('Судовые документы'!J:J,MATCH(A16,'Судовые документы'!A:A,0)),IF(K16="Оформление таможенных документов",INDEX('Таможенные документы'!J:J,MATCH(A16,'Таможенные документы'!A:A,0)),IF(K16="Оформление экспортных грузов",INDEX('Экспортные грузы'!J:J,MATCH(A16,'Экспортные грузы'!A:A,0)),IF(K16="Терминальные операции",INDEX(Терминал!J:J,MATCH(A16,Терминал!A:A,0)),IF(K16="Документальное оформление ЖД грузов",INDEX('ЖД грузы'!J:J,MATCH(A16,'ЖД грузы'!A:A,0)),""))))),"")</f>
        <v>Нет</v>
      </c>
      <c r="K16" s="19" t="s">
        <v>18</v>
      </c>
      <c r="L16" s="20" t="str">
        <f>IFERROR(IF(K16="Обработка судовых документов",INDEX('Судовые документы'!L:L,MATCH(A16,'Судовые документы'!A:A,0)),IF(K16="Оформление таможенных документов",INDEX('Таможенные документы'!L:L,MATCH(A16,'Таможенные документы'!A:A,0)),IF(K16="Оформление экспортных грузов",INDEX('Экспортные грузы'!L:L,MATCH(A16,'Экспортные грузы'!A:A,0)),IF(K16="Терминальные операции",INDEX(Терминал!L:L,MATCH(A16,Терминал!A:A,0)),IF(K16="Документальное оформление ЖД грузов",INDEX('ЖД грузы'!L:L,MATCH(A16,'ЖД грузы'!A:A,0)),""))))),"")</f>
        <v>Средний</v>
      </c>
      <c r="M16" s="16">
        <f>IFERROR(IF(K16="Обработка судовых документов",INDEX('Судовые документы'!K:K,MATCH(A16,'Судовые документы'!A:A,0)),IF(K16="Оформление таможенных документов",INDEX('Таможенные документы'!K:K,MATCH(A16,'Таможенные документы'!A:A,0)),IF(K16="Оформление экспортных грузов",INDEX('Экспортные грузы'!K:K,MATCH(A16,'Экспортные грузы'!A:A,0)),IF(K16="Терминальные операции",INDEX(Терминал!K:K,MATCH(A16,Терминал!A:A,0)),IF(K16="Документальное оформление ЖД грузов",INDEX('ЖД грузы'!K:K,MATCH(A16,'ЖД грузы'!A:A,0)),""))))),"")</f>
        <v>0</v>
      </c>
    </row>
    <row r="17" spans="1:13" ht="39.75" customHeight="1" x14ac:dyDescent="0.3">
      <c r="A17" s="3">
        <f>'Таможенные документы'!A10</f>
        <v>12</v>
      </c>
      <c r="B17" s="4">
        <f>'Таможенные документы'!B10</f>
        <v>0</v>
      </c>
      <c r="C17" s="5" t="str">
        <f>'Таможенные документы'!C10</f>
        <v>Прием импорта на авто</v>
      </c>
      <c r="D17" s="6" t="str">
        <f>IFERROR(IF(K17="Обработка судовых документов",INDEX('Судовые документы'!D:D,MATCH(A17,'Судовые документы'!A:A,0)),IF(K17="Оформление таможенных документов",INDEX('Таможенные документы'!D:D,MATCH(A17,'Таможенные документы'!A:A,0)),IF(K17="Оформление экспортных грузов",INDEX('Экспортные грузы'!D:D,MATCH(A17,'Экспортные грузы'!A:A,0)),IF(K17="Терминальные операции",INDEX(Терминал!D:D,MATCH(A17,Терминал!A:A,0)),IF(K17="Документальное оформление ЖД грузов",INDEX('ЖД грузы'!D:D,MATCH(A17,'ЖД грузы'!A:A,0)),""))))),"")</f>
        <v>Оформление ДО-1, загрузка ТР, оформление ДО-2</v>
      </c>
      <c r="E17" s="7" t="str">
        <f>IFERROR(IF(K17="Обработка судовых документов",INDEX('Судовые документы'!E:E,MATCH(A17,'Судовые документы'!A:A,0)),IF(K17="Оформление таможенных документов",INDEX('Таможенные документы'!E:E,MATCH(A17,'Таможенные документы'!A:A,0)),IF(K17="Оформление экспортных грузов",INDEX('Экспортные грузы'!E:E,MATCH(A17,'Экспортные грузы'!A:A,0)),IF(K17="Терминальные операции",INDEX(Терминал!E:E,MATCH(A17,Терминал!A:A,0)),IF(K17="Документальное оформление ЖД грузов",INDEX('ЖД грузы'!E:E,MATCH(A17,'ЖД грузы'!A:A,0)),""))))),"")</f>
        <v>2026</v>
      </c>
      <c r="F17" s="6" t="str">
        <f>IFERROR(IF(K17="Обработка судовых документов",INDEX('Судовые документы'!F:F,MATCH(A17,'Судовые документы'!A:A,0)),IF(K17="Оформление таможенных документов",INDEX('Таможенные документы'!F:F,MATCH(A17,'Таможенные документы'!A:A,0)),IF(K17="Оформление экспортных грузов",INDEX('Экспортные грузы'!F:F,MATCH(A17,'Экспортные грузы'!A:A,0)),IF(K17="Терминальные операции",INDEX(Терминал!F:F,MATCH(A17,Терминал!A:A,0)),IF(K17="Документальное оформление ЖД грузов",INDEX('ЖД грузы'!F:F,MATCH(A17,'ЖД грузы'!A:A,0)),""))))),"")</f>
        <v>В работе</v>
      </c>
      <c r="G17" s="6" t="str">
        <f>IFERROR(IF(K17="Обработка судовых документов",INDEX('Судовые документы'!G:G,MATCH(A17,'Судовые документы'!A:A,0)),IF(K17="Оформление таможенных документов",INDEX('Таможенные документы'!G:G,MATCH(A17,'Таможенные документы'!A:A,0)),IF(K17="Оформление экспортных грузов",INDEX('Экспортные грузы'!G:G,MATCH(A17,'Экспортные грузы'!A:A,0)),IF(K17="Терминальные операции",INDEX(Терминал!G:G,MATCH(A17,Терминал!A:A,0)),IF(K17="Документальное оформление ЖД грузов",INDEX('ЖД грузы'!G:G,MATCH(A17,'ЖД грузы'!A:A,0)),""))))),"")</f>
        <v>Аналитика</v>
      </c>
      <c r="H17" s="8" t="str">
        <f>IFERROR(IF(K17="Обработка судовых документов",INDEX('Судовые документы'!H:H,MATCH(A17,'Судовые документы'!A:A,0)),IF(K17="Оформление таможенных документов",INDEX('Таможенные документы'!H:H,MATCH(A17,'Таможенные документы'!A:A,0)),IF(K17="Оформление экспортных грузов",INDEX('Экспортные грузы'!H:H,MATCH(A17,'Экспортные грузы'!A:A,0)),IF(K17="Терминальные операции",INDEX(Терминал!H:H,MATCH(A17,Терминал!A:A,0)),IF(K17="Документальное оформление ЖД грузов",INDEX('ЖД грузы'!H:H,MATCH(A17,'ЖД грузы'!A:A,0)),""))))),"")</f>
        <v>7.4.11</v>
      </c>
      <c r="I17" s="9">
        <f>IFERROR(IF(K17="Обработка судовых документов",INDEX('Судовые документы'!I:I,MATCH(A17,'Судовые документы'!A:A,0)),IF(K17="Оформление таможенных документов",INDEX('Таможенные документы'!I:I,MATCH(A17,'Таможенные документы'!A:A,0)),IF(K17="Оформление экспортных грузов",INDEX('Экспортные грузы'!I:I,MATCH(A17,'Экспортные грузы'!A:A,0)),IF(K17="Терминальные операции",INDEX(Терминал!I:I,MATCH(A17,Терминал!A:A,0)),IF(K17="Документальное оформление ЖД грузов",INDEX('ЖД грузы'!I:I,MATCH(A17,'ЖД грузы'!A:A,0)),""))))),"")</f>
        <v>0</v>
      </c>
      <c r="J17" s="7" t="str">
        <f>IFERROR(IF(K17="Обработка судовых документов",INDEX('Судовые документы'!J:J,MATCH(A17,'Судовые документы'!A:A,0)),IF(K17="Оформление таможенных документов",INDEX('Таможенные документы'!J:J,MATCH(A17,'Таможенные документы'!A:A,0)),IF(K17="Оформление экспортных грузов",INDEX('Экспортные грузы'!J:J,MATCH(A17,'Экспортные грузы'!A:A,0)),IF(K17="Терминальные операции",INDEX(Терминал!J:J,MATCH(A17,Терминал!A:A,0)),IF(K17="Документальное оформление ЖД грузов",INDEX('ЖД грузы'!J:J,MATCH(A17,'ЖД грузы'!A:A,0)),""))))),"")</f>
        <v>Нет</v>
      </c>
      <c r="K17" s="10" t="s">
        <v>18</v>
      </c>
      <c r="L17" s="11" t="str">
        <f>IFERROR(IF(K17="Обработка судовых документов",INDEX('Судовые документы'!L:L,MATCH(A17,'Судовые документы'!A:A,0)),IF(K17="Оформление таможенных документов",INDEX('Таможенные документы'!L:L,MATCH(A17,'Таможенные документы'!A:A,0)),IF(K17="Оформление экспортных грузов",INDEX('Экспортные грузы'!L:L,MATCH(A17,'Экспортные грузы'!A:A,0)),IF(K17="Терминальные операции",INDEX(Терминал!L:L,MATCH(A17,Терминал!A:A,0)),IF(K17="Документальное оформление ЖД грузов",INDEX('ЖД грузы'!L:L,MATCH(A17,'ЖД грузы'!A:A,0)),""))))),"")</f>
        <v>Средний</v>
      </c>
      <c r="M17" s="7">
        <f>IFERROR(IF(K17="Обработка судовых документов",INDEX('Судовые документы'!K:K,MATCH(A17,'Судовые документы'!A:A,0)),IF(K17="Оформление таможенных документов",INDEX('Таможенные документы'!K:K,MATCH(A17,'Таможенные документы'!A:A,0)),IF(K17="Оформление экспортных грузов",INDEX('Экспортные грузы'!K:K,MATCH(A17,'Экспортные грузы'!A:A,0)),IF(K17="Терминальные операции",INDEX(Терминал!K:K,MATCH(A17,Терминал!A:A,0)),IF(K17="Документальное оформление ЖД грузов",INDEX('ЖД грузы'!K:K,MATCH(A17,'ЖД грузы'!A:A,0)),""))))),"")</f>
        <v>0</v>
      </c>
    </row>
    <row r="18" spans="1:13" ht="21.75" customHeight="1" x14ac:dyDescent="0.3">
      <c r="A18" s="130" t="s">
        <v>19</v>
      </c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</row>
    <row r="19" spans="1:13" ht="39.75" customHeight="1" x14ac:dyDescent="0.3">
      <c r="A19" s="3">
        <f>'Экспортные грузы'!A6</f>
        <v>13</v>
      </c>
      <c r="B19" s="4" t="str">
        <f>'Экспортные грузы'!B6</f>
        <v>4SC-RQ-CR-859 #3985850</v>
      </c>
      <c r="C19" s="5" t="str">
        <f>'Экспортные грузы'!C6</f>
        <v>Fill-Bill приемка ПнП через ЛКК</v>
      </c>
      <c r="D19" s="6" t="str">
        <f>IFERROR(IF(K19="Обработка судовых документов",INDEX('Судовые документы'!D:D,MATCH(A19,'Судовые документы'!A:A,0)),IF(K19="Оформление таможенных документов",INDEX('Таможенные документы'!D:D,MATCH(A19,'Таможенные документы'!A:A,0)),IF(K19="Оформление экспортных грузов",INDEX('Экспортные грузы'!D:D,MATCH(A19,'Экспортные грузы'!A:A,0)),IF(K19="Терминальные операции",INDEX(Терминал!D:D,MATCH(A19,Терминал!A:A,0)),IF(K19="Документальное оформление ЖД грузов",INDEX('ЖД грузы'!D:D,MATCH(A19,'ЖД грузы'!A:A,0)),""))))),"")</f>
        <v>Функционал реализован в Fill-Bill. ОПЭ, ошибки</v>
      </c>
      <c r="E19" s="7" t="str">
        <f>IFERROR(IF(K19="Обработка судовых документов",INDEX('Судовые документы'!E:E,MATCH(A19,'Судовые документы'!A:A,0)),IF(K19="Оформление таможенных документов",INDEX('Таможенные документы'!E:E,MATCH(A19,'Таможенные документы'!A:A,0)),IF(K19="Оформление экспортных грузов",INDEX('Экспортные грузы'!E:E,MATCH(A19,'Экспортные грузы'!A:A,0)),IF(K19="Терминальные операции",INDEX(Терминал!E:E,MATCH(A19,Терминал!A:A,0)),IF(K19="Документальное оформление ЖД грузов",INDEX('ЖД грузы'!E:E,MATCH(A19,'ЖД грузы'!A:A,0)),""))))),"")</f>
        <v>май 2026</v>
      </c>
      <c r="F19" s="6" t="str">
        <f>IFERROR(IF(K19="Обработка судовых документов",INDEX('Судовые документы'!F:F,MATCH(A19,'Судовые документы'!A:A,0)),IF(K19="Оформление таможенных документов",INDEX('Таможенные документы'!F:F,MATCH(A19,'Таможенные документы'!A:A,0)),IF(K19="Оформление экспортных грузов",INDEX('Экспортные грузы'!F:F,MATCH(A19,'Экспортные грузы'!A:A,0)),IF(K19="Терминальные операции",INDEX(Терминал!F:F,MATCH(A19,Терминал!A:A,0)),IF(K19="Документальное оформление ЖД грузов",INDEX('ЖД грузы'!F:F,MATCH(A19,'ЖД грузы'!A:A,0)),""))))),"")</f>
        <v>ОПЭ</v>
      </c>
      <c r="G19" s="6" t="str">
        <f>IFERROR(IF(K19="Обработка судовых документов",INDEX('Судовые документы'!G:G,MATCH(A19,'Судовые документы'!A:A,0)),IF(K19="Оформление таможенных документов",INDEX('Таможенные документы'!G:G,MATCH(A19,'Таможенные документы'!A:A,0)),IF(K19="Оформление экспортных грузов",INDEX('Экспортные грузы'!G:G,MATCH(A19,'Экспортные грузы'!A:A,0)),IF(K19="Терминальные операции",INDEX(Терминал!G:G,MATCH(A19,Терминал!A:A,0)),IF(K19="Документальное оформление ЖД грузов",INDEX('ЖД грузы'!G:G,MATCH(A19,'ЖД грузы'!A:A,0)),""))))),"")</f>
        <v>Аналитика</v>
      </c>
      <c r="H19" s="8" t="str">
        <f>IFERROR(IF(K19="Обработка судовых документов",INDEX('Судовые документы'!H:H,MATCH(A19,'Судовые документы'!A:A,0)),IF(K19="Оформление таможенных документов",INDEX('Таможенные документы'!H:H,MATCH(A19,'Таможенные документы'!A:A,0)),IF(K19="Оформление экспортных грузов",INDEX('Экспортные грузы'!H:H,MATCH(A19,'Экспортные грузы'!A:A,0)),IF(K19="Терминальные операции",INDEX(Терминал!H:H,MATCH(A19,Терминал!A:A,0)),IF(K19="Документальное оформление ЖД грузов",INDEX('ЖД грузы'!H:H,MATCH(A19,'ЖД грузы'!A:A,0)),""))))),"")</f>
        <v>7.4.10</v>
      </c>
      <c r="I19" s="9">
        <f>IFERROR(IF(K19="Обработка судовых документов",INDEX('Судовые документы'!I:I,MATCH(A19,'Судовые документы'!A:A,0)),IF(K19="Оформление таможенных документов",INDEX('Таможенные документы'!I:I,MATCH(A19,'Таможенные документы'!A:A,0)),IF(K19="Оформление экспортных грузов",INDEX('Экспортные грузы'!I:I,MATCH(A19,'Экспортные грузы'!A:A,0)),IF(K19="Терминальные операции",INDEX(Терминал!I:I,MATCH(A19,Терминал!A:A,0)),IF(K19="Документальное оформление ЖД грузов",INDEX('ЖД грузы'!I:I,MATCH(A19,'ЖД грузы'!A:A,0)),""))))),"")</f>
        <v>0</v>
      </c>
      <c r="J19" s="7" t="str">
        <f>IFERROR(IF(K19="Обработка судовых документов",INDEX('Судовые документы'!J:J,MATCH(A19,'Судовые документы'!A:A,0)),IF(K19="Оформление таможенных документов",INDEX('Таможенные документы'!J:J,MATCH(A19,'Таможенные документы'!A:A,0)),IF(K19="Оформление экспортных грузов",INDEX('Экспортные грузы'!J:J,MATCH(A19,'Экспортные грузы'!A:A,0)),IF(K19="Терминальные операции",INDEX(Терминал!J:J,MATCH(A19,Терминал!A:A,0)),IF(K19="Документальное оформление ЖД грузов",INDEX('ЖД грузы'!J:J,MATCH(A19,'ЖД грузы'!A:A,0)),""))))),"")</f>
        <v>Нет</v>
      </c>
      <c r="K19" s="10" t="s">
        <v>20</v>
      </c>
      <c r="L19" s="11" t="str">
        <f>IFERROR(IF(K19="Обработка судовых документов",INDEX('Судовые документы'!L:L,MATCH(A19,'Судовые документы'!A:A,0)),IF(K19="Оформление таможенных документов",INDEX('Таможенные документы'!L:L,MATCH(A19,'Таможенные документы'!A:A,0)),IF(K19="Оформление экспортных грузов",INDEX('Экспортные грузы'!L:L,MATCH(A19,'Экспортные грузы'!A:A,0)),IF(K19="Терминальные операции",INDEX(Терминал!L:L,MATCH(A19,Терминал!A:A,0)),IF(K19="Документальное оформление ЖД грузов",INDEX('ЖД грузы'!L:L,MATCH(A19,'ЖД грузы'!A:A,0)),""))))),"")</f>
        <v>Средний</v>
      </c>
      <c r="M19" s="7">
        <f>IFERROR(IF(K19="Обработка судовых документов",INDEX('Судовые документы'!K:K,MATCH(A19,'Судовые документы'!A:A,0)),IF(K19="Оформление таможенных документов",INDEX('Таможенные документы'!K:K,MATCH(A19,'Таможенные документы'!A:A,0)),IF(K19="Оформление экспортных грузов",INDEX('Экспортные грузы'!K:K,MATCH(A19,'Экспортные грузы'!A:A,0)),IF(K19="Терминальные операции",INDEX(Терминал!K:K,MATCH(A19,Терминал!A:A,0)),IF(K19="Документальное оформление ЖД грузов",INDEX('ЖД грузы'!K:K,MATCH(A19,'ЖД грузы'!A:A,0)),""))))),"")</f>
        <v>0</v>
      </c>
    </row>
    <row r="20" spans="1:13" ht="39.75" customHeight="1" x14ac:dyDescent="0.3">
      <c r="A20" s="12">
        <f>'Экспортные грузы'!A7</f>
        <v>14</v>
      </c>
      <c r="B20" s="13" t="str">
        <f>'Экспортные грузы'!B7</f>
        <v>4SC-RQ-CR-725 #3089473</v>
      </c>
      <c r="C20" s="14" t="str">
        <f>'Экспортные грузы'!C7</f>
        <v>Запрос на открытие букинга</v>
      </c>
      <c r="D20" s="15" t="str">
        <f>IFERROR(IF(K20="Обработка судовых документов",INDEX('Судовые документы'!D:D,MATCH(A20,'Судовые документы'!A:A,0)),IF(K20="Оформление таможенных документов",INDEX('Таможенные документы'!D:D,MATCH(A20,'Таможенные документы'!A:A,0)),IF(K20="Оформление экспортных грузов",INDEX('Экспортные грузы'!D:D,MATCH(A20,'Экспортные грузы'!A:A,0)),IF(K20="Терминальные операции",INDEX(Терминал!D:D,MATCH(A20,Терминал!A:A,0)),IF(K20="Документальное оформление ЖД грузов",INDEX('ЖД грузы'!D:D,MATCH(A20,'ЖД грузы'!A:A,0)),""))))),"")</f>
        <v>Открытие (управление) букингами в ЛКК</v>
      </c>
      <c r="E20" s="16" t="str">
        <f>IFERROR(IF(K20="Обработка судовых документов",INDEX('Судовые документы'!E:E,MATCH(A20,'Судовые документы'!A:A,0)),IF(K20="Оформление таможенных документов",INDEX('Таможенные документы'!E:E,MATCH(A20,'Таможенные документы'!A:A,0)),IF(K20="Оформление экспортных грузов",INDEX('Экспортные грузы'!E:E,MATCH(A20,'Экспортные грузы'!A:A,0)),IF(K20="Терминальные операции",INDEX(Терминал!E:E,MATCH(A20,Терминал!A:A,0)),IF(K20="Документальное оформление ЖД грузов",INDEX('ЖД грузы'!E:E,MATCH(A20,'ЖД грузы'!A:A,0)),""))))),"")</f>
        <v>май 2026</v>
      </c>
      <c r="F20" s="15" t="str">
        <f>IFERROR(IF(K20="Обработка судовых документов",INDEX('Судовые документы'!F:F,MATCH(A20,'Судовые документы'!A:A,0)),IF(K20="Оформление таможенных документов",INDEX('Таможенные документы'!F:F,MATCH(A20,'Таможенные документы'!A:A,0)),IF(K20="Оформление экспортных грузов",INDEX('Экспортные грузы'!F:F,MATCH(A20,'Экспортные грузы'!A:A,0)),IF(K20="Терминальные операции",INDEX(Терминал!F:F,MATCH(A20,Терминал!A:A,0)),IF(K20="Документальное оформление ЖД грузов",INDEX('ЖД грузы'!F:F,MATCH(A20,'ЖД грузы'!A:A,0)),""))))),"")</f>
        <v>В работе</v>
      </c>
      <c r="G20" s="15" t="str">
        <f>IFERROR(IF(K20="Обработка судовых документов",INDEX('Судовые документы'!G:G,MATCH(A20,'Судовые документы'!A:A,0)),IF(K20="Оформление таможенных документов",INDEX('Таможенные документы'!G:G,MATCH(A20,'Таможенные документы'!A:A,0)),IF(K20="Оформление экспортных грузов",INDEX('Экспортные грузы'!G:G,MATCH(A20,'Экспортные грузы'!A:A,0)),IF(K20="Терминальные операции",INDEX(Терминал!G:G,MATCH(A20,Терминал!A:A,0)),IF(K20="Документальное оформление ЖД грузов",INDEX('ЖД грузы'!G:G,MATCH(A20,'ЖД грузы'!A:A,0)),""))))),"")</f>
        <v>Тестирование</v>
      </c>
      <c r="H20" s="17" t="str">
        <f>IFERROR(IF(K20="Обработка судовых документов",INDEX('Судовые документы'!H:H,MATCH(A20,'Судовые документы'!A:A,0)),IF(K20="Оформление таможенных документов",INDEX('Таможенные документы'!H:H,MATCH(A20,'Таможенные документы'!A:A,0)),IF(K20="Оформление экспортных грузов",INDEX('Экспортные грузы'!H:H,MATCH(A20,'Экспортные грузы'!A:A,0)),IF(K20="Терминальные операции",INDEX(Терминал!H:H,MATCH(A20,Терминал!A:A,0)),IF(K20="Документальное оформление ЖД грузов",INDEX('ЖД грузы'!H:H,MATCH(A20,'ЖД грузы'!A:A,0)),""))))),"")</f>
        <v>7.4.10</v>
      </c>
      <c r="I20" s="18">
        <f>IFERROR(IF(K20="Обработка судовых документов",INDEX('Судовые документы'!I:I,MATCH(A20,'Судовые документы'!A:A,0)),IF(K20="Оформление таможенных документов",INDEX('Таможенные документы'!I:I,MATCH(A20,'Таможенные документы'!A:A,0)),IF(K20="Оформление экспортных грузов",INDEX('Экспортные грузы'!I:I,MATCH(A20,'Экспортные грузы'!A:A,0)),IF(K20="Терминальные операции",INDEX(Терминал!I:I,MATCH(A20,Терминал!A:A,0)),IF(K20="Документальное оформление ЖД грузов",INDEX('ЖД грузы'!I:I,MATCH(A20,'ЖД грузы'!A:A,0)),""))))),"")</f>
        <v>340</v>
      </c>
      <c r="J20" s="16" t="str">
        <f>IFERROR(IF(K20="Обработка судовых документов",INDEX('Судовые документы'!J:J,MATCH(A20,'Судовые документы'!A:A,0)),IF(K20="Оформление таможенных документов",INDEX('Таможенные документы'!J:J,MATCH(A20,'Таможенные документы'!A:A,0)),IF(K20="Оформление экспортных грузов",INDEX('Экспортные грузы'!J:J,MATCH(A20,'Экспортные грузы'!A:A,0)),IF(K20="Терминальные операции",INDEX(Терминал!J:J,MATCH(A20,Терминал!A:A,0)),IF(K20="Документальное оформление ЖД грузов",INDEX('ЖД грузы'!J:J,MATCH(A20,'ЖД грузы'!A:A,0)),""))))),"")</f>
        <v>Да</v>
      </c>
      <c r="K20" s="19" t="s">
        <v>20</v>
      </c>
      <c r="L20" s="20" t="str">
        <f>IFERROR(IF(K20="Обработка судовых документов",INDEX('Судовые документы'!L:L,MATCH(A20,'Судовые документы'!A:A,0)),IF(K20="Оформление таможенных документов",INDEX('Таможенные документы'!L:L,MATCH(A20,'Таможенные документы'!A:A,0)),IF(K20="Оформление экспортных грузов",INDEX('Экспортные грузы'!L:L,MATCH(A20,'Экспортные грузы'!A:A,0)),IF(K20="Терминальные операции",INDEX(Терминал!L:L,MATCH(A20,Терминал!A:A,0)),IF(K20="Документальное оформление ЖД грузов",INDEX('ЖД грузы'!L:L,MATCH(A20,'ЖД грузы'!A:A,0)),""))))),"")</f>
        <v>Средний</v>
      </c>
      <c r="M20" s="16">
        <f>IFERROR(IF(K20="Обработка судовых документов",INDEX('Судовые документы'!K:K,MATCH(A20,'Судовые документы'!A:A,0)),IF(K20="Оформление таможенных документов",INDEX('Таможенные документы'!K:K,MATCH(A20,'Таможенные документы'!A:A,0)),IF(K20="Оформление экспортных грузов",INDEX('Экспортные грузы'!K:K,MATCH(A20,'Экспортные грузы'!A:A,0)),IF(K20="Терминальные операции",INDEX(Терминал!K:K,MATCH(A20,Терминал!A:A,0)),IF(K20="Документальное оформление ЖД грузов",INDEX('ЖД грузы'!K:K,MATCH(A20,'ЖД грузы'!A:A,0)),""))))),"")</f>
        <v>0</v>
      </c>
    </row>
    <row r="21" spans="1:13" ht="39.75" customHeight="1" x14ac:dyDescent="0.3">
      <c r="A21" s="3">
        <f>'Экспортные грузы'!A8</f>
        <v>15</v>
      </c>
      <c r="B21" s="4" t="str">
        <f>'Экспортные грузы'!B8</f>
        <v>4SC-RQ-CR-883 #3670931</v>
      </c>
      <c r="C21" s="5" t="str">
        <f>'Экспортные грузы'!C8</f>
        <v>Изменения и обработка COPARN</v>
      </c>
      <c r="D21" s="6" t="str">
        <f>IFERROR(IF(K21="Обработка судовых документов",INDEX('Судовые документы'!D:D,MATCH(A21,'Судовые документы'!A:A,0)),IF(K21="Оформление таможенных документов",INDEX('Таможенные документы'!D:D,MATCH(A21,'Таможенные документы'!A:A,0)),IF(K21="Оформление экспортных грузов",INDEX('Экспортные грузы'!D:D,MATCH(A21,'Экспортные грузы'!A:A,0)),IF(K21="Терминальные операции",INDEX(Терминал!D:D,MATCH(A21,Терминал!A:A,0)),IF(K21="Документальное оформление ЖД грузов",INDEX('ЖД грузы'!D:D,MATCH(A21,'ЖД грузы'!A:A,0)),""))))),"")</f>
        <v>Адресные контейнеры (ссылочные) MSC — без смены с/захода</v>
      </c>
      <c r="E21" s="7" t="str">
        <f>IFERROR(IF(K21="Обработка судовых документов",INDEX('Судовые документы'!E:E,MATCH(A21,'Судовые документы'!A:A,0)),IF(K21="Оформление таможенных документов",INDEX('Таможенные документы'!E:E,MATCH(A21,'Таможенные документы'!A:A,0)),IF(K21="Оформление экспортных грузов",INDEX('Экспортные грузы'!E:E,MATCH(A21,'Экспортные грузы'!A:A,0)),IF(K21="Терминальные операции",INDEX(Терминал!E:E,MATCH(A21,Терминал!A:A,0)),IF(K21="Документальное оформление ЖД грузов",INDEX('ЖД грузы'!E:E,MATCH(A21,'ЖД грузы'!A:A,0)),""))))),"")</f>
        <v>выполнено</v>
      </c>
      <c r="F21" s="6" t="str">
        <f>IFERROR(IF(K21="Обработка судовых документов",INDEX('Судовые документы'!F:F,MATCH(A21,'Судовые документы'!A:A,0)),IF(K21="Оформление таможенных документов",INDEX('Таможенные документы'!F:F,MATCH(A21,'Таможенные документы'!A:A,0)),IF(K21="Оформление экспортных грузов",INDEX('Экспортные грузы'!F:F,MATCH(A21,'Экспортные грузы'!A:A,0)),IF(K21="Терминальные операции",INDEX(Терминал!F:F,MATCH(A21,Терминал!A:A,0)),IF(K21="Документальное оформление ЖД грузов",INDEX('ЖД грузы'!F:F,MATCH(A21,'ЖД грузы'!A:A,0)),""))))),"")</f>
        <v>Выполнено</v>
      </c>
      <c r="G21" s="6" t="str">
        <f>IFERROR(IF(K21="Обработка судовых документов",INDEX('Судовые документы'!G:G,MATCH(A21,'Судовые документы'!A:A,0)),IF(K21="Оформление таможенных документов",INDEX('Таможенные документы'!G:G,MATCH(A21,'Таможенные документы'!A:A,0)),IF(K21="Оформление экспортных грузов",INDEX('Экспортные грузы'!G:G,MATCH(A21,'Экспортные грузы'!A:A,0)),IF(K21="Терминальные операции",INDEX(Терминал!G:G,MATCH(A21,Терминал!A:A,0)),IF(K21="Документальное оформление ЖД грузов",INDEX('ЖД грузы'!G:G,MATCH(A21,'ЖД грузы'!A:A,0)),""))))),"")</f>
        <v>Установлено</v>
      </c>
      <c r="H21" s="8" t="str">
        <f>IFERROR(IF(K21="Обработка судовых документов",INDEX('Судовые документы'!H:H,MATCH(A21,'Судовые документы'!A:A,0)),IF(K21="Оформление таможенных документов",INDEX('Таможенные документы'!H:H,MATCH(A21,'Таможенные документы'!A:A,0)),IF(K21="Оформление экспортных грузов",INDEX('Экспортные грузы'!H:H,MATCH(A21,'Экспортные грузы'!A:A,0)),IF(K21="Терминальные операции",INDEX(Терминал!H:H,MATCH(A21,Терминал!A:A,0)),IF(K21="Документальное оформление ЖД грузов",INDEX('ЖД грузы'!H:H,MATCH(A21,'ЖД грузы'!A:A,0)),""))))),"")</f>
        <v>7.4.8</v>
      </c>
      <c r="I21" s="9">
        <f>IFERROR(IF(K21="Обработка судовых документов",INDEX('Судовые документы'!I:I,MATCH(A21,'Судовые документы'!A:A,0)),IF(K21="Оформление таможенных документов",INDEX('Таможенные документы'!I:I,MATCH(A21,'Таможенные документы'!A:A,0)),IF(K21="Оформление экспортных грузов",INDEX('Экспортные грузы'!I:I,MATCH(A21,'Экспортные грузы'!A:A,0)),IF(K21="Терминальные операции",INDEX(Терминал!I:I,MATCH(A21,Терминал!A:A,0)),IF(K21="Документальное оформление ЖД грузов",INDEX('ЖД грузы'!I:I,MATCH(A21,'ЖД грузы'!A:A,0)),""))))),"")</f>
        <v>0</v>
      </c>
      <c r="J21" s="7" t="str">
        <f>IFERROR(IF(K21="Обработка судовых документов",INDEX('Судовые документы'!J:J,MATCH(A21,'Судовые документы'!A:A,0)),IF(K21="Оформление таможенных документов",INDEX('Таможенные документы'!J:J,MATCH(A21,'Таможенные документы'!A:A,0)),IF(K21="Оформление экспортных грузов",INDEX('Экспортные грузы'!J:J,MATCH(A21,'Экспортные грузы'!A:A,0)),IF(K21="Терминальные операции",INDEX(Терминал!J:J,MATCH(A21,Терминал!A:A,0)),IF(K21="Документальное оформление ЖД грузов",INDEX('ЖД грузы'!J:J,MATCH(A21,'ЖД грузы'!A:A,0)),""))))),"")</f>
        <v>Нет</v>
      </c>
      <c r="K21" s="10" t="s">
        <v>20</v>
      </c>
      <c r="L21" s="11" t="str">
        <f>IFERROR(IF(K21="Обработка судовых документов",INDEX('Судовые документы'!L:L,MATCH(A21,'Судовые документы'!A:A,0)),IF(K21="Оформление таможенных документов",INDEX('Таможенные документы'!L:L,MATCH(A21,'Таможенные документы'!A:A,0)),IF(K21="Оформление экспортных грузов",INDEX('Экспортные грузы'!L:L,MATCH(A21,'Экспортные грузы'!A:A,0)),IF(K21="Терминальные операции",INDEX(Терминал!L:L,MATCH(A21,Терминал!A:A,0)),IF(K21="Документальное оформление ЖД грузов",INDEX('ЖД грузы'!L:L,MATCH(A21,'ЖД грузы'!A:A,0)),""))))),"")</f>
        <v>Средний</v>
      </c>
      <c r="M21" s="7">
        <f>IFERROR(IF(K21="Обработка судовых документов",INDEX('Судовые документы'!K:K,MATCH(A21,'Судовые документы'!A:A,0)),IF(K21="Оформление таможенных документов",INDEX('Таможенные документы'!K:K,MATCH(A21,'Таможенные документы'!A:A,0)),IF(K21="Оформление экспортных грузов",INDEX('Экспортные грузы'!K:K,MATCH(A21,'Экспортные грузы'!A:A,0)),IF(K21="Терминальные операции",INDEX(Терминал!K:K,MATCH(A21,Терминал!A:A,0)),IF(K21="Документальное оформление ЖД грузов",INDEX('ЖД грузы'!K:K,MATCH(A21,'ЖД грузы'!A:A,0)),""))))),"")</f>
        <v>0</v>
      </c>
    </row>
    <row r="22" spans="1:13" ht="39.75" customHeight="1" x14ac:dyDescent="0.3">
      <c r="A22" s="12">
        <f>'Экспортные грузы'!A9</f>
        <v>16</v>
      </c>
      <c r="B22" s="13" t="str">
        <f>'Экспортные грузы'!B9</f>
        <v>4SC-1-RQ-CR-792 #3304168</v>
      </c>
      <c r="C22" s="14" t="str">
        <f>'Экспортные грузы'!C9</f>
        <v>Оформление возврата</v>
      </c>
      <c r="D22" s="15" t="str">
        <f>IFERROR(IF(K22="Обработка судовых документов",INDEX('Судовые документы'!D:D,MATCH(A22,'Судовые документы'!A:A,0)),IF(K22="Оформление таможенных документов",INDEX('Таможенные документы'!D:D,MATCH(A22,'Таможенные документы'!A:A,0)),IF(K22="Оформление экспортных грузов",INDEX('Экспортные грузы'!D:D,MATCH(A22,'Экспортные грузы'!A:A,0)),IF(K22="Терминальные операции",INDEX(Терминал!D:D,MATCH(A22,Терминал!A:A,0)),IF(K22="Документальное оформление ЖД грузов",INDEX('ЖД грузы'!D:D,MATCH(A22,'ЖД грузы'!A:A,0)),""))))),"")</f>
        <v>Реализация в ЛКК КТСП функционала по оформлению возврата контейнера</v>
      </c>
      <c r="E22" s="16" t="str">
        <f>IFERROR(IF(K22="Обработка судовых документов",INDEX('Судовые документы'!E:E,MATCH(A22,'Судовые документы'!A:A,0)),IF(K22="Оформление таможенных документов",INDEX('Таможенные документы'!E:E,MATCH(A22,'Таможенные документы'!A:A,0)),IF(K22="Оформление экспортных грузов",INDEX('Экспортные грузы'!E:E,MATCH(A22,'Экспортные грузы'!A:A,0)),IF(K22="Терминальные операции",INDEX(Терминал!E:E,MATCH(A22,Терминал!A:A,0)),IF(K22="Документальное оформление ЖД грузов",INDEX('ЖД грузы'!E:E,MATCH(A22,'ЖД грузы'!A:A,0)),""))))),"")</f>
        <v>май 2026</v>
      </c>
      <c r="F22" s="15" t="str">
        <f>IFERROR(IF(K22="Обработка судовых документов",INDEX('Судовые документы'!F:F,MATCH(A22,'Судовые документы'!A:A,0)),IF(K22="Оформление таможенных документов",INDEX('Таможенные документы'!F:F,MATCH(A22,'Таможенные документы'!A:A,0)),IF(K22="Оформление экспортных грузов",INDEX('Экспортные грузы'!F:F,MATCH(A22,'Экспортные грузы'!A:A,0)),IF(K22="Терминальные операции",INDEX(Терминал!F:F,MATCH(A22,Терминал!A:A,0)),IF(K22="Документальное оформление ЖД грузов",INDEX('ЖД грузы'!F:F,MATCH(A22,'ЖД грузы'!A:A,0)),""))))),"")</f>
        <v>Тестирование</v>
      </c>
      <c r="G22" s="15" t="str">
        <f>IFERROR(IF(K22="Обработка судовых документов",INDEX('Судовые документы'!G:G,MATCH(A22,'Судовые документы'!A:A,0)),IF(K22="Оформление таможенных документов",INDEX('Таможенные документы'!G:G,MATCH(A22,'Таможенные документы'!A:A,0)),IF(K22="Оформление экспортных грузов",INDEX('Экспортные грузы'!G:G,MATCH(A22,'Экспортные грузы'!A:A,0)),IF(K22="Терминальные операции",INDEX(Терминал!G:G,MATCH(A22,Терминал!A:A,0)),IF(K22="Документальное оформление ЖД грузов",INDEX('ЖД грузы'!G:G,MATCH(A22,'ЖД грузы'!A:A,0)),""))))),"")</f>
        <v>Установлено</v>
      </c>
      <c r="H22" s="17" t="str">
        <f>IFERROR(IF(K22="Обработка судовых документов",INDEX('Судовые документы'!H:H,MATCH(A22,'Судовые документы'!A:A,0)),IF(K22="Оформление таможенных документов",INDEX('Таможенные документы'!H:H,MATCH(A22,'Таможенные документы'!A:A,0)),IF(K22="Оформление экспортных грузов",INDEX('Экспортные грузы'!H:H,MATCH(A22,'Экспортные грузы'!A:A,0)),IF(K22="Терминальные операции",INDEX(Терминал!H:H,MATCH(A22,Терминал!A:A,0)),IF(K22="Документальное оформление ЖД грузов",INDEX('ЖД грузы'!H:H,MATCH(A22,'ЖД грузы'!A:A,0)),""))))),"")</f>
        <v>7.4.9</v>
      </c>
      <c r="I22" s="18">
        <f>IFERROR(IF(K22="Обработка судовых документов",INDEX('Судовые документы'!I:I,MATCH(A22,'Судовые документы'!A:A,0)),IF(K22="Оформление таможенных документов",INDEX('Таможенные документы'!I:I,MATCH(A22,'Таможенные документы'!A:A,0)),IF(K22="Оформление экспортных грузов",INDEX('Экспортные грузы'!I:I,MATCH(A22,'Экспортные грузы'!A:A,0)),IF(K22="Терминальные операции",INDEX(Терминал!I:I,MATCH(A22,Терминал!A:A,0)),IF(K22="Документальное оформление ЖД грузов",INDEX('ЖД грузы'!I:I,MATCH(A22,'ЖД грузы'!A:A,0)),""))))),"")</f>
        <v>192</v>
      </c>
      <c r="J22" s="16" t="str">
        <f>IFERROR(IF(K22="Обработка судовых документов",INDEX('Судовые документы'!J:J,MATCH(A22,'Судовые документы'!A:A,0)),IF(K22="Оформление таможенных документов",INDEX('Таможенные документы'!J:J,MATCH(A22,'Таможенные документы'!A:A,0)),IF(K22="Оформление экспортных грузов",INDEX('Экспортные грузы'!J:J,MATCH(A22,'Экспортные грузы'!A:A,0)),IF(K22="Терминальные операции",INDEX(Терминал!J:J,MATCH(A22,Терминал!A:A,0)),IF(K22="Документальное оформление ЖД грузов",INDEX('ЖД грузы'!J:J,MATCH(A22,'ЖД грузы'!A:A,0)),""))))),"")</f>
        <v>Да</v>
      </c>
      <c r="K22" s="19" t="s">
        <v>20</v>
      </c>
      <c r="L22" s="20" t="str">
        <f>IFERROR(IF(K22="Обработка судовых документов",INDEX('Судовые документы'!L:L,MATCH(A22,'Судовые документы'!A:A,0)),IF(K22="Оформление таможенных документов",INDEX('Таможенные документы'!L:L,MATCH(A22,'Таможенные документы'!A:A,0)),IF(K22="Оформление экспортных грузов",INDEX('Экспортные грузы'!L:L,MATCH(A22,'Экспортные грузы'!A:A,0)),IF(K22="Терминальные операции",INDEX(Терминал!L:L,MATCH(A22,Терминал!A:A,0)),IF(K22="Документальное оформление ЖД грузов",INDEX('ЖД грузы'!L:L,MATCH(A22,'ЖД грузы'!A:A,0)),""))))),"")</f>
        <v>Средний</v>
      </c>
      <c r="M22" s="16">
        <f>IFERROR(IF(K22="Обработка судовых документов",INDEX('Судовые документы'!K:K,MATCH(A22,'Судовые документы'!A:A,0)),IF(K22="Оформление таможенных документов",INDEX('Таможенные документы'!K:K,MATCH(A22,'Таможенные документы'!A:A,0)),IF(K22="Оформление экспортных грузов",INDEX('Экспортные грузы'!K:K,MATCH(A22,'Экспортные грузы'!A:A,0)),IF(K22="Терминальные операции",INDEX(Терминал!K:K,MATCH(A22,Терминал!A:A,0)),IF(K22="Документальное оформление ЖД грузов",INDEX('ЖД грузы'!K:K,MATCH(A22,'ЖД грузы'!A:A,0)),""))))),"")</f>
        <v>0</v>
      </c>
    </row>
    <row r="23" spans="1:13" ht="39.75" customHeight="1" x14ac:dyDescent="0.3">
      <c r="A23" s="3">
        <f>'Экспортные грузы'!A10</f>
        <v>17</v>
      </c>
      <c r="B23" s="4" t="str">
        <f>'Экспортные грузы'!B10</f>
        <v>4SC-1-RQ-CR-794 #3307598</v>
      </c>
      <c r="C23" s="5" t="str">
        <f>'Экспортные грузы'!C10</f>
        <v>Оформление заявки на смену владельца</v>
      </c>
      <c r="D23" s="6" t="str">
        <f>IFERROR(IF(K23="Обработка судовых документов",INDEX('Судовые документы'!D:D,MATCH(A23,'Судовые документы'!A:A,0)),IF(K23="Оформление таможенных документов",INDEX('Таможенные документы'!D:D,MATCH(A23,'Таможенные документы'!A:A,0)),IF(K23="Оформление экспортных грузов",INDEX('Экспортные грузы'!D:D,MATCH(A23,'Экспортные грузы'!A:A,0)),IF(K23="Терминальные операции",INDEX(Терминал!D:D,MATCH(A23,Терминал!A:A,0)),IF(K23="Документальное оформление ЖД грузов",INDEX('ЖД грузы'!D:D,MATCH(A23,'ЖД грузы'!A:A,0)),""))))),"")</f>
        <v>Реализация в ЛКК КТСП функционала по смене владельца контейнера</v>
      </c>
      <c r="E23" s="7" t="str">
        <f>IFERROR(IF(K23="Обработка судовых документов",INDEX('Судовые документы'!E:E,MATCH(A23,'Судовые документы'!A:A,0)),IF(K23="Оформление таможенных документов",INDEX('Таможенные документы'!E:E,MATCH(A23,'Таможенные документы'!A:A,0)),IF(K23="Оформление экспортных грузов",INDEX('Экспортные грузы'!E:E,MATCH(A23,'Экспортные грузы'!A:A,0)),IF(K23="Терминальные операции",INDEX(Терминал!E:E,MATCH(A23,Терминал!A:A,0)),IF(K23="Документальное оформление ЖД грузов",INDEX('ЖД грузы'!E:E,MATCH(A23,'ЖД грузы'!A:A,0)),""))))),"")</f>
        <v>2026</v>
      </c>
      <c r="F23" s="6" t="str">
        <f>IFERROR(IF(K23="Обработка судовых документов",INDEX('Судовые документы'!F:F,MATCH(A23,'Судовые документы'!A:A,0)),IF(K23="Оформление таможенных документов",INDEX('Таможенные документы'!F:F,MATCH(A23,'Таможенные документы'!A:A,0)),IF(K23="Оформление экспортных грузов",INDEX('Экспортные грузы'!F:F,MATCH(A23,'Экспортные грузы'!A:A,0)),IF(K23="Терминальные операции",INDEX(Терминал!F:F,MATCH(A23,Терминал!A:A,0)),IF(K23="Документальное оформление ЖД грузов",INDEX('ЖД грузы'!F:F,MATCH(A23,'ЖД грузы'!A:A,0)),""))))),"")</f>
        <v>Приостановлена</v>
      </c>
      <c r="G23" s="6" t="str">
        <f>IFERROR(IF(K23="Обработка судовых документов",INDEX('Судовые документы'!G:G,MATCH(A23,'Судовые документы'!A:A,0)),IF(K23="Оформление таможенных документов",INDEX('Таможенные документы'!G:G,MATCH(A23,'Таможенные документы'!A:A,0)),IF(K23="Оформление экспортных грузов",INDEX('Экспортные грузы'!G:G,MATCH(A23,'Экспортные грузы'!A:A,0)),IF(K23="Терминальные операции",INDEX(Терминал!G:G,MATCH(A23,Терминал!A:A,0)),IF(K23="Документальное оформление ЖД грузов",INDEX('ЖД грузы'!G:G,MATCH(A23,'ЖД грузы'!A:A,0)),""))))),"")</f>
        <v>Приостановлена</v>
      </c>
      <c r="H23" s="8" t="str">
        <f>IFERROR(IF(K23="Обработка судовых документов",INDEX('Судовые документы'!H:H,MATCH(A23,'Судовые документы'!A:A,0)),IF(K23="Оформление таможенных документов",INDEX('Таможенные документы'!H:H,MATCH(A23,'Таможенные документы'!A:A,0)),IF(K23="Оформление экспортных грузов",INDEX('Экспортные грузы'!H:H,MATCH(A23,'Экспортные грузы'!A:A,0)),IF(K23="Терминальные операции",INDEX(Терминал!H:H,MATCH(A23,Терминал!A:A,0)),IF(K23="Документальное оформление ЖД грузов",INDEX('ЖД грузы'!H:H,MATCH(A23,'ЖД грузы'!A:A,0)),""))))),"")</f>
        <v>7.4.11</v>
      </c>
      <c r="I23" s="9">
        <f>IFERROR(IF(K23="Обработка судовых документов",INDEX('Судовые документы'!I:I,MATCH(A23,'Судовые документы'!A:A,0)),IF(K23="Оформление таможенных документов",INDEX('Таможенные документы'!I:I,MATCH(A23,'Таможенные документы'!A:A,0)),IF(K23="Оформление экспортных грузов",INDEX('Экспортные грузы'!I:I,MATCH(A23,'Экспортные грузы'!A:A,0)),IF(K23="Терминальные операции",INDEX(Терминал!I:I,MATCH(A23,Терминал!A:A,0)),IF(K23="Документальное оформление ЖД грузов",INDEX('ЖД грузы'!I:I,MATCH(A23,'ЖД грузы'!A:A,0)),""))))),"")</f>
        <v>0</v>
      </c>
      <c r="J23" s="7" t="str">
        <f>IFERROR(IF(K23="Обработка судовых документов",INDEX('Судовые документы'!J:J,MATCH(A23,'Судовые документы'!A:A,0)),IF(K23="Оформление таможенных документов",INDEX('Таможенные документы'!J:J,MATCH(A23,'Таможенные документы'!A:A,0)),IF(K23="Оформление экспортных грузов",INDEX('Экспортные грузы'!J:J,MATCH(A23,'Экспортные грузы'!A:A,0)),IF(K23="Терминальные операции",INDEX(Терминал!J:J,MATCH(A23,Терминал!A:A,0)),IF(K23="Документальное оформление ЖД грузов",INDEX('ЖД грузы'!J:J,MATCH(A23,'ЖД грузы'!A:A,0)),""))))),"")</f>
        <v>Нет</v>
      </c>
      <c r="K23" s="10" t="s">
        <v>20</v>
      </c>
      <c r="L23" s="11" t="str">
        <f>IFERROR(IF(K23="Обработка судовых документов",INDEX('Судовые документы'!L:L,MATCH(A23,'Судовые документы'!A:A,0)),IF(K23="Оформление таможенных документов",INDEX('Таможенные документы'!L:L,MATCH(A23,'Таможенные документы'!A:A,0)),IF(K23="Оформление экспортных грузов",INDEX('Экспортные грузы'!L:L,MATCH(A23,'Экспортные грузы'!A:A,0)),IF(K23="Терминальные операции",INDEX(Терминал!L:L,MATCH(A23,Терминал!A:A,0)),IF(K23="Документальное оформление ЖД грузов",INDEX('ЖД грузы'!L:L,MATCH(A23,'ЖД грузы'!A:A,0)),""))))),"")</f>
        <v>Средний</v>
      </c>
      <c r="M23" s="7">
        <f>IFERROR(IF(K23="Обработка судовых документов",INDEX('Судовые документы'!K:K,MATCH(A23,'Судовые документы'!A:A,0)),IF(K23="Оформление таможенных документов",INDEX('Таможенные документы'!K:K,MATCH(A23,'Таможенные документы'!A:A,0)),IF(K23="Оформление экспортных грузов",INDEX('Экспортные грузы'!K:K,MATCH(A23,'Экспортные грузы'!A:A,0)),IF(K23="Терминальные операции",INDEX(Терминал!K:K,MATCH(A23,Терминал!A:A,0)),IF(K23="Документальное оформление ЖД грузов",INDEX('ЖД грузы'!K:K,MATCH(A23,'ЖД грузы'!A:A,0)),""))))),"")</f>
        <v>0</v>
      </c>
    </row>
    <row r="24" spans="1:13" ht="21.75" customHeight="1" x14ac:dyDescent="0.3">
      <c r="A24" s="130" t="s">
        <v>21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1:13" ht="39.75" customHeight="1" x14ac:dyDescent="0.3">
      <c r="A25" s="3">
        <f>Терминал!A6</f>
        <v>18</v>
      </c>
      <c r="B25" s="4" t="str">
        <f>Терминал!B6</f>
        <v>4SC-1-RQ-CR-801 #3312205</v>
      </c>
      <c r="C25" s="5" t="str">
        <f>Терминал!C6</f>
        <v>Оформление заявки на растарку/затарку</v>
      </c>
      <c r="D25" s="6" t="str">
        <f>IFERROR(IF(K25="Обработка судовых документов",INDEX('Судовые документы'!D:D,MATCH(A25,'Судовые документы'!A:A,0)),IF(K25="Оформление таможенных документов",INDEX('Таможенные документы'!D:D,MATCH(A25,'Таможенные документы'!A:A,0)),IF(K25="Оформление экспортных грузов",INDEX('Экспортные грузы'!D:D,MATCH(A25,'Экспортные грузы'!A:A,0)),IF(K25="Терминальные операции",INDEX(Терминал!D:D,MATCH(A25,Терминал!A:A,0)),IF(K25="Документальное оформление ЖД грузов",INDEX('ЖД грузы'!D:D,MATCH(A25,'ЖД грузы'!A:A,0)),""))))),"")</f>
        <v>Единая форма создания заявок на растарку и затарку на WEB портале</v>
      </c>
      <c r="E25" s="7" t="str">
        <f>IFERROR(IF(K25="Обработка судовых документов",INDEX('Судовые документы'!E:E,MATCH(A25,'Судовые документы'!A:A,0)),IF(K25="Оформление таможенных документов",INDEX('Таможенные документы'!E:E,MATCH(A25,'Таможенные документы'!A:A,0)),IF(K25="Оформление экспортных грузов",INDEX('Экспортные грузы'!E:E,MATCH(A25,'Экспортные грузы'!A:A,0)),IF(K25="Терминальные операции",INDEX(Терминал!E:E,MATCH(A25,Терминал!A:A,0)),IF(K25="Документальное оформление ЖД грузов",INDEX('ЖД грузы'!E:E,MATCH(A25,'ЖД грузы'!A:A,0)),""))))),"")</f>
        <v>2026</v>
      </c>
      <c r="F25" s="6" t="str">
        <f>IFERROR(IF(K25="Обработка судовых документов",INDEX('Судовые документы'!F:F,MATCH(A25,'Судовые документы'!A:A,0)),IF(K25="Оформление таможенных документов",INDEX('Таможенные документы'!F:F,MATCH(A25,'Таможенные документы'!A:A,0)),IF(K25="Оформление экспортных грузов",INDEX('Экспортные грузы'!F:F,MATCH(A25,'Экспортные грузы'!A:A,0)),IF(K25="Терминальные операции",INDEX(Терминал!F:F,MATCH(A25,Терминал!A:A,0)),IF(K25="Документальное оформление ЖД грузов",INDEX('ЖД грузы'!F:F,MATCH(A25,'ЖД грузы'!A:A,0)),""))))),"")</f>
        <v>В работе</v>
      </c>
      <c r="G25" s="6" t="str">
        <f>IFERROR(IF(K25="Обработка судовых документов",INDEX('Судовые документы'!G:G,MATCH(A25,'Судовые документы'!A:A,0)),IF(K25="Оформление таможенных документов",INDEX('Таможенные документы'!G:G,MATCH(A25,'Таможенные документы'!A:A,0)),IF(K25="Оформление экспортных грузов",INDEX('Экспортные грузы'!G:G,MATCH(A25,'Экспортные грузы'!A:A,0)),IF(K25="Терминальные операции",INDEX(Терминал!G:G,MATCH(A25,Терминал!A:A,0)),IF(K25="Документальное оформление ЖД грузов",INDEX('ЖД грузы'!G:G,MATCH(A25,'ЖД грузы'!A:A,0)),""))))),"")</f>
        <v>Ожидает рассмотрения</v>
      </c>
      <c r="H25" s="8" t="str">
        <f>IFERROR(IF(K25="Обработка судовых документов",INDEX('Судовые документы'!H:H,MATCH(A25,'Судовые документы'!A:A,0)),IF(K25="Оформление таможенных документов",INDEX('Таможенные документы'!H:H,MATCH(A25,'Таможенные документы'!A:A,0)),IF(K25="Оформление экспортных грузов",INDEX('Экспортные грузы'!H:H,MATCH(A25,'Экспортные грузы'!A:A,0)),IF(K25="Терминальные операции",INDEX(Терминал!H:H,MATCH(A25,Терминал!A:A,0)),IF(K25="Документальное оформление ЖД грузов",INDEX('ЖД грузы'!H:H,MATCH(A25,'ЖД грузы'!A:A,0)),""))))),"")</f>
        <v>Н/Д</v>
      </c>
      <c r="I25" s="9">
        <f>IFERROR(IF(K25="Обработка судовых документов",INDEX('Судовые документы'!I:I,MATCH(A25,'Судовые документы'!A:A,0)),IF(K25="Оформление таможенных документов",INDEX('Таможенные документы'!I:I,MATCH(A25,'Таможенные документы'!A:A,0)),IF(K25="Оформление экспортных грузов",INDEX('Экспортные грузы'!I:I,MATCH(A25,'Экспортные грузы'!A:A,0)),IF(K25="Терминальные операции",INDEX(Терминал!I:I,MATCH(A25,Терминал!A:A,0)),IF(K25="Документальное оформление ЖД грузов",INDEX('ЖД грузы'!I:I,MATCH(A25,'ЖД грузы'!A:A,0)),""))))),"")</f>
        <v>0</v>
      </c>
      <c r="J25" s="7" t="str">
        <f>IFERROR(IF(K25="Обработка судовых документов",INDEX('Судовые документы'!J:J,MATCH(A25,'Судовые документы'!A:A,0)),IF(K25="Оформление таможенных документов",INDEX('Таможенные документы'!J:J,MATCH(A25,'Таможенные документы'!A:A,0)),IF(K25="Оформление экспортных грузов",INDEX('Экспортные грузы'!J:J,MATCH(A25,'Экспортные грузы'!A:A,0)),IF(K25="Терминальные операции",INDEX(Терминал!J:J,MATCH(A25,Терминал!A:A,0)),IF(K25="Документальное оформление ЖД грузов",INDEX('ЖД грузы'!J:J,MATCH(A25,'ЖД грузы'!A:A,0)),""))))),"")</f>
        <v>Нет</v>
      </c>
      <c r="K25" s="10" t="s">
        <v>22</v>
      </c>
      <c r="L25" s="11" t="str">
        <f>IFERROR(IF(K25="Обработка судовых документов",INDEX('Судовые документы'!L:L,MATCH(A25,'Судовые документы'!A:A,0)),IF(K25="Оформление таможенных документов",INDEX('Таможенные документы'!L:L,MATCH(A25,'Таможенные документы'!A:A,0)),IF(K25="Оформление экспортных грузов",INDEX('Экспортные грузы'!L:L,MATCH(A25,'Экспортные грузы'!A:A,0)),IF(K25="Терминальные операции",INDEX(Терминал!L:L,MATCH(A25,Терминал!A:A,0)),IF(K25="Документальное оформление ЖД грузов",INDEX('ЖД грузы'!L:L,MATCH(A25,'ЖД грузы'!A:A,0)),""))))),"")</f>
        <v>Средний</v>
      </c>
      <c r="M25" s="7">
        <f>IFERROR(IF(K25="Обработка судовых документов",INDEX('Судовые документы'!K:K,MATCH(A25,'Судовые документы'!A:A,0)),IF(K25="Оформление таможенных документов",INDEX('Таможенные документы'!K:K,MATCH(A25,'Таможенные документы'!A:A,0)),IF(K25="Оформление экспортных грузов",INDEX('Экспортные грузы'!K:K,MATCH(A25,'Экспортные грузы'!A:A,0)),IF(K25="Терминальные операции",INDEX(Терминал!K:K,MATCH(A25,Терминал!A:A,0)),IF(K25="Документальное оформление ЖД грузов",INDEX('ЖД грузы'!K:K,MATCH(A25,'ЖД грузы'!A:A,0)),""))))),"")</f>
        <v>0</v>
      </c>
    </row>
    <row r="26" spans="1:13" ht="39.75" customHeight="1" x14ac:dyDescent="0.3">
      <c r="A26" s="12">
        <f>Терминал!A7</f>
        <v>19</v>
      </c>
      <c r="B26" s="13" t="str">
        <f>Терминал!B7</f>
        <v>4SC-1-RQ-CR-793 #3307477</v>
      </c>
      <c r="C26" s="14" t="str">
        <f>Терминал!C7</f>
        <v>Проставление даты оформления по растарке</v>
      </c>
      <c r="D26" s="15" t="str">
        <f>IFERROR(IF(K26="Обработка судовых документов",INDEX('Судовые документы'!D:D,MATCH(A26,'Судовые документы'!A:A,0)),IF(K26="Оформление таможенных документов",INDEX('Таможенные документы'!D:D,MATCH(A26,'Таможенные документы'!A:A,0)),IF(K26="Оформление экспортных грузов",INDEX('Экспортные грузы'!D:D,MATCH(A26,'Экспортные грузы'!A:A,0)),IF(K26="Терминальные операции",INDEX(Терминал!D:D,MATCH(A26,Терминал!A:A,0)),IF(K26="Документальное оформление ЖД грузов",INDEX('ЖД грузы'!D:D,MATCH(A26,'ЖД грузы'!A:A,0)),""))))),"")</f>
        <v>Автоматизация установки даты оформления у растаренных контейнеров</v>
      </c>
      <c r="E26" s="16" t="str">
        <f>IFERROR(IF(K26="Обработка судовых документов",INDEX('Судовые документы'!E:E,MATCH(A26,'Судовые документы'!A:A,0)),IF(K26="Оформление таможенных документов",INDEX('Таможенные документы'!E:E,MATCH(A26,'Таможенные документы'!A:A,0)),IF(K26="Оформление экспортных грузов",INDEX('Экспортные грузы'!E:E,MATCH(A26,'Экспортные грузы'!A:A,0)),IF(K26="Терминальные операции",INDEX(Терминал!E:E,MATCH(A26,Терминал!A:A,0)),IF(K26="Документальное оформление ЖД грузов",INDEX('ЖД грузы'!E:E,MATCH(A26,'ЖД грузы'!A:A,0)),""))))),"")</f>
        <v>выполнено</v>
      </c>
      <c r="F26" s="15" t="str">
        <f>IFERROR(IF(K26="Обработка судовых документов",INDEX('Судовые документы'!F:F,MATCH(A26,'Судовые документы'!A:A,0)),IF(K26="Оформление таможенных документов",INDEX('Таможенные документы'!F:F,MATCH(A26,'Таможенные документы'!A:A,0)),IF(K26="Оформление экспортных грузов",INDEX('Экспортные грузы'!F:F,MATCH(A26,'Экспортные грузы'!A:A,0)),IF(K26="Терминальные операции",INDEX(Терминал!F:F,MATCH(A26,Терминал!A:A,0)),IF(K26="Документальное оформление ЖД грузов",INDEX('ЖД грузы'!F:F,MATCH(A26,'ЖД грузы'!A:A,0)),""))))),"")</f>
        <v>Выполнено</v>
      </c>
      <c r="G26" s="15" t="str">
        <f>IFERROR(IF(K26="Обработка судовых документов",INDEX('Судовые документы'!G:G,MATCH(A26,'Судовые документы'!A:A,0)),IF(K26="Оформление таможенных документов",INDEX('Таможенные документы'!G:G,MATCH(A26,'Таможенные документы'!A:A,0)),IF(K26="Оформление экспортных грузов",INDEX('Экспортные грузы'!G:G,MATCH(A26,'Экспортные грузы'!A:A,0)),IF(K26="Терминальные операции",INDEX(Терминал!G:G,MATCH(A26,Терминал!A:A,0)),IF(K26="Документальное оформление ЖД грузов",INDEX('ЖД грузы'!G:G,MATCH(A26,'ЖД грузы'!A:A,0)),""))))),"")</f>
        <v>Новое</v>
      </c>
      <c r="H26" s="17" t="str">
        <f>IFERROR(IF(K26="Обработка судовых документов",INDEX('Судовые документы'!H:H,MATCH(A26,'Судовые документы'!A:A,0)),IF(K26="Оформление таможенных документов",INDEX('Таможенные документы'!H:H,MATCH(A26,'Таможенные документы'!A:A,0)),IF(K26="Оформление экспортных грузов",INDEX('Экспортные грузы'!H:H,MATCH(A26,'Экспортные грузы'!A:A,0)),IF(K26="Терминальные операции",INDEX(Терминал!H:H,MATCH(A26,Терминал!A:A,0)),IF(K26="Документальное оформление ЖД грузов",INDEX('ЖД грузы'!H:H,MATCH(A26,'ЖД грузы'!A:A,0)),""))))),"")</f>
        <v>7.4.8</v>
      </c>
      <c r="I26" s="18">
        <f>IFERROR(IF(K26="Обработка судовых документов",INDEX('Судовые документы'!I:I,MATCH(A26,'Судовые документы'!A:A,0)),IF(K26="Оформление таможенных документов",INDEX('Таможенные документы'!I:I,MATCH(A26,'Таможенные документы'!A:A,0)),IF(K26="Оформление экспортных грузов",INDEX('Экспортные грузы'!I:I,MATCH(A26,'Экспортные грузы'!A:A,0)),IF(K26="Терминальные операции",INDEX(Терминал!I:I,MATCH(A26,Терминал!A:A,0)),IF(K26="Документальное оформление ЖД грузов",INDEX('ЖД грузы'!I:I,MATCH(A26,'ЖД грузы'!A:A,0)),""))))),"")</f>
        <v>70</v>
      </c>
      <c r="J26" s="16" t="str">
        <f>IFERROR(IF(K26="Обработка судовых документов",INDEX('Судовые документы'!J:J,MATCH(A26,'Судовые документы'!A:A,0)),IF(K26="Оформление таможенных документов",INDEX('Таможенные документы'!J:J,MATCH(A26,'Таможенные документы'!A:A,0)),IF(K26="Оформление экспортных грузов",INDEX('Экспортные грузы'!J:J,MATCH(A26,'Экспортные грузы'!A:A,0)),IF(K26="Терминальные операции",INDEX(Терминал!J:J,MATCH(A26,Терминал!A:A,0)),IF(K26="Документальное оформление ЖД грузов",INDEX('ЖД грузы'!J:J,MATCH(A26,'ЖД грузы'!A:A,0)),""))))),"")</f>
        <v>Да</v>
      </c>
      <c r="K26" s="19" t="s">
        <v>22</v>
      </c>
      <c r="L26" s="20" t="str">
        <f>IFERROR(IF(K26="Обработка судовых документов",INDEX('Судовые документы'!L:L,MATCH(A26,'Судовые документы'!A:A,0)),IF(K26="Оформление таможенных документов",INDEX('Таможенные документы'!L:L,MATCH(A26,'Таможенные документы'!A:A,0)),IF(K26="Оформление экспортных грузов",INDEX('Экспортные грузы'!L:L,MATCH(A26,'Экспортные грузы'!A:A,0)),IF(K26="Терминальные операции",INDEX(Терминал!L:L,MATCH(A26,Терминал!A:A,0)),IF(K26="Документальное оформление ЖД грузов",INDEX('ЖД грузы'!L:L,MATCH(A26,'ЖД грузы'!A:A,0)),""))))),"")</f>
        <v>Средний</v>
      </c>
      <c r="M26" s="16">
        <f>IFERROR(IF(K26="Обработка судовых документов",INDEX('Судовые документы'!K:K,MATCH(A26,'Судовые документы'!A:A,0)),IF(K26="Оформление таможенных документов",INDEX('Таможенные документы'!K:K,MATCH(A26,'Таможенные документы'!A:A,0)),IF(K26="Оформление экспортных грузов",INDEX('Экспортные грузы'!K:K,MATCH(A26,'Экспортные грузы'!A:A,0)),IF(K26="Терминальные операции",INDEX(Терминал!K:K,MATCH(A26,Терминал!A:A,0)),IF(K26="Документальное оформление ЖД грузов",INDEX('ЖД грузы'!K:K,MATCH(A26,'ЖД грузы'!A:A,0)),""))))),"")</f>
        <v>0</v>
      </c>
    </row>
    <row r="27" spans="1:13" ht="39.75" customHeight="1" x14ac:dyDescent="0.3">
      <c r="A27" s="3">
        <f>Терминал!A8</f>
        <v>20</v>
      </c>
      <c r="B27" s="4" t="str">
        <f>Терминал!B8</f>
        <v>4SC-1-RQ-CR-803 #3313227</v>
      </c>
      <c r="C27" s="5" t="str">
        <f>Терминал!C8</f>
        <v>Реализация функционала частичной растарки</v>
      </c>
      <c r="D27" s="6" t="str">
        <f>IFERROR(IF(K27="Обработка судовых документов",INDEX('Судовые документы'!D:D,MATCH(A27,'Судовые документы'!A:A,0)),IF(K27="Оформление таможенных документов",INDEX('Таможенные документы'!D:D,MATCH(A27,'Таможенные документы'!A:A,0)),IF(K27="Оформление экспортных грузов",INDEX('Экспортные грузы'!D:D,MATCH(A27,'Экспортные грузы'!A:A,0)),IF(K27="Терминальные операции",INDEX(Терминал!D:D,MATCH(A27,Терминал!A:A,0)),IF(K27="Документальное оформление ЖД грузов",INDEX('ЖД грузы'!D:D,MATCH(A27,'ЖД грузы'!A:A,0)),""))))),"")</f>
        <v>В ЛКК добавить возможность создания заявок на растарку в ТС с признаком частичной растарки</v>
      </c>
      <c r="E27" s="7" t="str">
        <f>IFERROR(IF(K27="Обработка судовых документов",INDEX('Судовые документы'!E:E,MATCH(A27,'Судовые документы'!A:A,0)),IF(K27="Оформление таможенных документов",INDEX('Таможенные документы'!E:E,MATCH(A27,'Таможенные документы'!A:A,0)),IF(K27="Оформление экспортных грузов",INDEX('Экспортные грузы'!E:E,MATCH(A27,'Экспортные грузы'!A:A,0)),IF(K27="Терминальные операции",INDEX(Терминал!E:E,MATCH(A27,Терминал!A:A,0)),IF(K27="Документальное оформление ЖД грузов",INDEX('ЖД грузы'!E:E,MATCH(A27,'ЖД грузы'!A:A,0)),""))))),"")</f>
        <v>ОПЭ</v>
      </c>
      <c r="F27" s="6" t="str">
        <f>IFERROR(IF(K27="Обработка судовых документов",INDEX('Судовые документы'!F:F,MATCH(A27,'Судовые документы'!A:A,0)),IF(K27="Оформление таможенных документов",INDEX('Таможенные документы'!F:F,MATCH(A27,'Таможенные документы'!A:A,0)),IF(K27="Оформление экспортных грузов",INDEX('Экспортные грузы'!F:F,MATCH(A27,'Экспортные грузы'!A:A,0)),IF(K27="Терминальные операции",INDEX(Терминал!F:F,MATCH(A27,Терминал!A:A,0)),IF(K27="Документальное оформление ЖД грузов",INDEX('ЖД грузы'!F:F,MATCH(A27,'ЖД грузы'!A:A,0)),""))))),"")</f>
        <v>ОПЭ</v>
      </c>
      <c r="G27" s="6" t="str">
        <f>IFERROR(IF(K27="Обработка судовых документов",INDEX('Судовые документы'!G:G,MATCH(A27,'Судовые документы'!A:A,0)),IF(K27="Оформление таможенных документов",INDEX('Таможенные документы'!G:G,MATCH(A27,'Таможенные документы'!A:A,0)),IF(K27="Оформление экспортных грузов",INDEX('Экспортные грузы'!G:G,MATCH(A27,'Экспортные грузы'!A:A,0)),IF(K27="Терминальные операции",INDEX(Терминал!G:G,MATCH(A27,Терминал!A:A,0)),IF(K27="Документальное оформление ЖД грузов",INDEX('ЖД грузы'!G:G,MATCH(A27,'ЖД грузы'!A:A,0)),""))))),"")</f>
        <v>Установлено</v>
      </c>
      <c r="H27" s="8" t="str">
        <f>IFERROR(IF(K27="Обработка судовых документов",INDEX('Судовые документы'!H:H,MATCH(A27,'Судовые документы'!A:A,0)),IF(K27="Оформление таможенных документов",INDEX('Таможенные документы'!H:H,MATCH(A27,'Таможенные документы'!A:A,0)),IF(K27="Оформление экспортных грузов",INDEX('Экспортные грузы'!H:H,MATCH(A27,'Экспортные грузы'!A:A,0)),IF(K27="Терминальные операции",INDEX(Терминал!H:H,MATCH(A27,Терминал!A:A,0)),IF(K27="Документальное оформление ЖД грузов",INDEX('ЖД грузы'!H:H,MATCH(A27,'ЖД грузы'!A:A,0)),""))))),"")</f>
        <v>7.4.9</v>
      </c>
      <c r="I27" s="9">
        <f>IFERROR(IF(K27="Обработка судовых документов",INDEX('Судовые документы'!I:I,MATCH(A27,'Судовые документы'!A:A,0)),IF(K27="Оформление таможенных документов",INDEX('Таможенные документы'!I:I,MATCH(A27,'Таможенные документы'!A:A,0)),IF(K27="Оформление экспортных грузов",INDEX('Экспортные грузы'!I:I,MATCH(A27,'Экспортные грузы'!A:A,0)),IF(K27="Терминальные операции",INDEX(Терминал!I:I,MATCH(A27,Терминал!A:A,0)),IF(K27="Документальное оформление ЖД грузов",INDEX('ЖД грузы'!I:I,MATCH(A27,'ЖД грузы'!A:A,0)),""))))),"")</f>
        <v>96</v>
      </c>
      <c r="J27" s="7" t="str">
        <f>IFERROR(IF(K27="Обработка судовых документов",INDEX('Судовые документы'!J:J,MATCH(A27,'Судовые документы'!A:A,0)),IF(K27="Оформление таможенных документов",INDEX('Таможенные документы'!J:J,MATCH(A27,'Таможенные документы'!A:A,0)),IF(K27="Оформление экспортных грузов",INDEX('Экспортные грузы'!J:J,MATCH(A27,'Экспортные грузы'!A:A,0)),IF(K27="Терминальные операции",INDEX(Терминал!J:J,MATCH(A27,Терминал!A:A,0)),IF(K27="Документальное оформление ЖД грузов",INDEX('ЖД грузы'!J:J,MATCH(A27,'ЖД грузы'!A:A,0)),""))))),"")</f>
        <v>Да</v>
      </c>
      <c r="K27" s="10" t="s">
        <v>22</v>
      </c>
      <c r="L27" s="11" t="str">
        <f>IFERROR(IF(K27="Обработка судовых документов",INDEX('Судовые документы'!L:L,MATCH(A27,'Судовые документы'!A:A,0)),IF(K27="Оформление таможенных документов",INDEX('Таможенные документы'!L:L,MATCH(A27,'Таможенные документы'!A:A,0)),IF(K27="Оформление экспортных грузов",INDEX('Экспортные грузы'!L:L,MATCH(A27,'Экспортные грузы'!A:A,0)),IF(K27="Терминальные операции",INDEX(Терминал!L:L,MATCH(A27,Терминал!A:A,0)),IF(K27="Документальное оформление ЖД грузов",INDEX('ЖД грузы'!L:L,MATCH(A27,'ЖД грузы'!A:A,0)),""))))),"")</f>
        <v>Средний</v>
      </c>
      <c r="M27" s="7">
        <f>IFERROR(IF(K27="Обработка судовых документов",INDEX('Судовые документы'!K:K,MATCH(A27,'Судовые документы'!A:A,0)),IF(K27="Оформление таможенных документов",INDEX('Таможенные документы'!K:K,MATCH(A27,'Таможенные документы'!A:A,0)),IF(K27="Оформление экспортных грузов",INDEX('Экспортные грузы'!K:K,MATCH(A27,'Экспортные грузы'!A:A,0)),IF(K27="Терминальные операции",INDEX(Терминал!K:K,MATCH(A27,Терминал!A:A,0)),IF(K27="Документальное оформление ЖД грузов",INDEX('ЖД грузы'!K:K,MATCH(A27,'ЖД грузы'!A:A,0)),""))))),"")</f>
        <v>0</v>
      </c>
    </row>
    <row r="28" spans="1:13" ht="39.75" customHeight="1" x14ac:dyDescent="0.3">
      <c r="A28" s="12">
        <f>Терминал!A9</f>
        <v>21</v>
      </c>
      <c r="B28" s="13" t="str">
        <f>Терминал!B9</f>
        <v>4SC-1-RQ-CR-800 #3312196</v>
      </c>
      <c r="C28" s="14" t="str">
        <f>Терминал!C9</f>
        <v>Создание заявок на перетарку на WEB</v>
      </c>
      <c r="D28" s="15" t="str">
        <f>IFERROR(IF(K28="Обработка судовых документов",INDEX('Судовые документы'!D:D,MATCH(A28,'Судовые документы'!A:A,0)),IF(K28="Оформление таможенных документов",INDEX('Таможенные документы'!D:D,MATCH(A28,'Таможенные документы'!A:A,0)),IF(K28="Оформление экспортных грузов",INDEX('Экспортные грузы'!D:D,MATCH(A28,'Экспортные грузы'!A:A,0)),IF(K28="Терминальные операции",INDEX(Терминал!D:D,MATCH(A28,Терминал!A:A,0)),IF(K28="Документальное оформление ЖД грузов",INDEX('ЖД грузы'!D:D,MATCH(A28,'ЖД грузы'!A:A,0)),""))))),"")</f>
        <v>На WEB портал добавить форму для создания заявок на перетарку</v>
      </c>
      <c r="E28" s="16" t="str">
        <f>IFERROR(IF(K28="Обработка судовых документов",INDEX('Судовые документы'!E:E,MATCH(A28,'Судовые документы'!A:A,0)),IF(K28="Оформление таможенных документов",INDEX('Таможенные документы'!E:E,MATCH(A28,'Таможенные документы'!A:A,0)),IF(K28="Оформление экспортных грузов",INDEX('Экспортные грузы'!E:E,MATCH(A28,'Экспортные грузы'!A:A,0)),IF(K28="Терминальные операции",INDEX(Терминал!E:E,MATCH(A28,Терминал!A:A,0)),IF(K28="Документальное оформление ЖД грузов",INDEX('ЖД грузы'!E:E,MATCH(A28,'ЖД грузы'!A:A,0)),""))))),"")</f>
        <v>2026</v>
      </c>
      <c r="F28" s="15" t="str">
        <f>IFERROR(IF(K28="Обработка судовых документов",INDEX('Судовые документы'!F:F,MATCH(A28,'Судовые документы'!A:A,0)),IF(K28="Оформление таможенных документов",INDEX('Таможенные документы'!F:F,MATCH(A28,'Таможенные документы'!A:A,0)),IF(K28="Оформление экспортных грузов",INDEX('Экспортные грузы'!F:F,MATCH(A28,'Экспортные грузы'!A:A,0)),IF(K28="Терминальные операции",INDEX(Терминал!F:F,MATCH(A28,Терминал!A:A,0)),IF(K28="Документальное оформление ЖД грузов",INDEX('ЖД грузы'!F:F,MATCH(A28,'ЖД грузы'!A:A,0)),""))))),"")</f>
        <v>В работе</v>
      </c>
      <c r="G28" s="15" t="str">
        <f>IFERROR(IF(K28="Обработка судовых документов",INDEX('Судовые документы'!G:G,MATCH(A28,'Судовые документы'!A:A,0)),IF(K28="Оформление таможенных документов",INDEX('Таможенные документы'!G:G,MATCH(A28,'Таможенные документы'!A:A,0)),IF(K28="Оформление экспортных грузов",INDEX('Экспортные грузы'!G:G,MATCH(A28,'Экспортные грузы'!A:A,0)),IF(K28="Терминальные операции",INDEX(Терминал!G:G,MATCH(A28,Терминал!A:A,0)),IF(K28="Документальное оформление ЖД грузов",INDEX('ЖД грузы'!G:G,MATCH(A28,'ЖД грузы'!A:A,0)),""))))),"")</f>
        <v>Оценка</v>
      </c>
      <c r="H28" s="17" t="str">
        <f>IFERROR(IF(K28="Обработка судовых документов",INDEX('Судовые документы'!H:H,MATCH(A28,'Судовые документы'!A:A,0)),IF(K28="Оформление таможенных документов",INDEX('Таможенные документы'!H:H,MATCH(A28,'Таможенные документы'!A:A,0)),IF(K28="Оформление экспортных грузов",INDEX('Экспортные грузы'!H:H,MATCH(A28,'Экспортные грузы'!A:A,0)),IF(K28="Терминальные операции",INDEX(Терминал!H:H,MATCH(A28,Терминал!A:A,0)),IF(K28="Документальное оформление ЖД грузов",INDEX('ЖД грузы'!H:H,MATCH(A28,'ЖД грузы'!A:A,0)),""))))),"")</f>
        <v>7.4.11</v>
      </c>
      <c r="I28" s="18">
        <f>IFERROR(IF(K28="Обработка судовых документов",INDEX('Судовые документы'!I:I,MATCH(A28,'Судовые документы'!A:A,0)),IF(K28="Оформление таможенных документов",INDEX('Таможенные документы'!I:I,MATCH(A28,'Таможенные документы'!A:A,0)),IF(K28="Оформление экспортных грузов",INDEX('Экспортные грузы'!I:I,MATCH(A28,'Экспортные грузы'!A:A,0)),IF(K28="Терминальные операции",INDEX(Терминал!I:I,MATCH(A28,Терминал!A:A,0)),IF(K28="Документальное оформление ЖД грузов",INDEX('ЖД грузы'!I:I,MATCH(A28,'ЖД грузы'!A:A,0)),""))))),"")</f>
        <v>320</v>
      </c>
      <c r="J28" s="16" t="str">
        <f>IFERROR(IF(K28="Обработка судовых документов",INDEX('Судовые документы'!J:J,MATCH(A28,'Судовые документы'!A:A,0)),IF(K28="Оформление таможенных документов",INDEX('Таможенные документы'!J:J,MATCH(A28,'Таможенные документы'!A:A,0)),IF(K28="Оформление экспортных грузов",INDEX('Экспортные грузы'!J:J,MATCH(A28,'Экспортные грузы'!A:A,0)),IF(K28="Терминальные операции",INDEX(Терминал!J:J,MATCH(A28,Терминал!A:A,0)),IF(K28="Документальное оформление ЖД грузов",INDEX('ЖД грузы'!J:J,MATCH(A28,'ЖД грузы'!A:A,0)),""))))),"")</f>
        <v>Да</v>
      </c>
      <c r="K28" s="19" t="s">
        <v>22</v>
      </c>
      <c r="L28" s="20" t="str">
        <f>IFERROR(IF(K28="Обработка судовых документов",INDEX('Судовые документы'!L:L,MATCH(A28,'Судовые документы'!A:A,0)),IF(K28="Оформление таможенных документов",INDEX('Таможенные документы'!L:L,MATCH(A28,'Таможенные документы'!A:A,0)),IF(K28="Оформление экспортных грузов",INDEX('Экспортные грузы'!L:L,MATCH(A28,'Экспортные грузы'!A:A,0)),IF(K28="Терминальные операции",INDEX(Терминал!L:L,MATCH(A28,Терминал!A:A,0)),IF(K28="Документальное оформление ЖД грузов",INDEX('ЖД грузы'!L:L,MATCH(A28,'ЖД грузы'!A:A,0)),""))))),"")</f>
        <v>Средний</v>
      </c>
      <c r="M28" s="16">
        <f>IFERROR(IF(K28="Обработка судовых документов",INDEX('Судовые документы'!K:K,MATCH(A28,'Судовые документы'!A:A,0)),IF(K28="Оформление таможенных документов",INDEX('Таможенные документы'!K:K,MATCH(A28,'Таможенные документы'!A:A,0)),IF(K28="Оформление экспортных грузов",INDEX('Экспортные грузы'!K:K,MATCH(A28,'Экспортные грузы'!A:A,0)),IF(K28="Терминальные операции",INDEX(Терминал!K:K,MATCH(A28,Терминал!A:A,0)),IF(K28="Документальное оформление ЖД грузов",INDEX('ЖД грузы'!K:K,MATCH(A28,'ЖД грузы'!A:A,0)),""))))),"")</f>
        <v>0</v>
      </c>
    </row>
    <row r="29" spans="1:13" ht="39.75" customHeight="1" x14ac:dyDescent="0.3">
      <c r="A29" s="3">
        <f>Терминал!A10</f>
        <v>22</v>
      </c>
      <c r="B29" s="4" t="str">
        <f>Терминал!B10</f>
        <v>4SC-RQ-CR-852 #3451221</v>
      </c>
      <c r="C29" s="5" t="str">
        <f>Терминал!C10</f>
        <v>Инфо при создании ЗАВ на растарку в ТС</v>
      </c>
      <c r="D29" s="6" t="str">
        <f>IFERROR(IF(K29="Обработка судовых документов",INDEX('Судовые документы'!D:D,MATCH(A29,'Судовые документы'!A:A,0)),IF(K29="Оформление таможенных документов",INDEX('Таможенные документы'!D:D,MATCH(A29,'Таможенные документы'!A:A,0)),IF(K29="Оформление экспортных грузов",INDEX('Экспортные грузы'!D:D,MATCH(A29,'Экспортные грузы'!A:A,0)),IF(K29="Терминальные операции",INDEX(Терминал!D:D,MATCH(A29,Терминал!A:A,0)),IF(K29="Документальное оформление ЖД грузов",INDEX('ЖД грузы'!D:D,MATCH(A29,'ЖД грузы'!A:A,0)),""))))),"")</f>
        <v>Добавить столбцы «Растариваемый вес» и «Количество единиц» в таблицу ЛКК</v>
      </c>
      <c r="E29" s="7" t="str">
        <f>IFERROR(IF(K29="Обработка судовых документов",INDEX('Судовые документы'!E:E,MATCH(A29,'Судовые документы'!A:A,0)),IF(K29="Оформление таможенных документов",INDEX('Таможенные документы'!E:E,MATCH(A29,'Таможенные документы'!A:A,0)),IF(K29="Оформление экспортных грузов",INDEX('Экспортные грузы'!E:E,MATCH(A29,'Экспортные грузы'!A:A,0)),IF(K29="Терминальные операции",INDEX(Терминал!E:E,MATCH(A29,Терминал!A:A,0)),IF(K29="Документальное оформление ЖД грузов",INDEX('ЖД грузы'!E:E,MATCH(A29,'ЖД грузы'!A:A,0)),""))))),"")</f>
        <v>ОПЭ</v>
      </c>
      <c r="F29" s="6" t="str">
        <f>IFERROR(IF(K29="Обработка судовых документов",INDEX('Судовые документы'!F:F,MATCH(A29,'Судовые документы'!A:A,0)),IF(K29="Оформление таможенных документов",INDEX('Таможенные документы'!F:F,MATCH(A29,'Таможенные документы'!A:A,0)),IF(K29="Оформление экспортных грузов",INDEX('Экспортные грузы'!F:F,MATCH(A29,'Экспортные грузы'!A:A,0)),IF(K29="Терминальные операции",INDEX(Терминал!F:F,MATCH(A29,Терминал!A:A,0)),IF(K29="Документальное оформление ЖД грузов",INDEX('ЖД грузы'!F:F,MATCH(A29,'ЖД грузы'!A:A,0)),""))))),"")</f>
        <v>ОПЭ</v>
      </c>
      <c r="G29" s="6" t="str">
        <f>IFERROR(IF(K29="Обработка судовых документов",INDEX('Судовые документы'!G:G,MATCH(A29,'Судовые документы'!A:A,0)),IF(K29="Оформление таможенных документов",INDEX('Таможенные документы'!G:G,MATCH(A29,'Таможенные документы'!A:A,0)),IF(K29="Оформление экспортных грузов",INDEX('Экспортные грузы'!G:G,MATCH(A29,'Экспортные грузы'!A:A,0)),IF(K29="Терминальные операции",INDEX(Терминал!G:G,MATCH(A29,Терминал!A:A,0)),IF(K29="Документальное оформление ЖД грузов",INDEX('ЖД грузы'!G:G,MATCH(A29,'ЖД грузы'!A:A,0)),""))))),"")</f>
        <v>Установлено</v>
      </c>
      <c r="H29" s="8" t="str">
        <f>IFERROR(IF(K29="Обработка судовых документов",INDEX('Судовые документы'!H:H,MATCH(A29,'Судовые документы'!A:A,0)),IF(K29="Оформление таможенных документов",INDEX('Таможенные документы'!H:H,MATCH(A29,'Таможенные документы'!A:A,0)),IF(K29="Оформление экспортных грузов",INDEX('Экспортные грузы'!H:H,MATCH(A29,'Экспортные грузы'!A:A,0)),IF(K29="Терминальные операции",INDEX(Терминал!H:H,MATCH(A29,Терминал!A:A,0)),IF(K29="Документальное оформление ЖД грузов",INDEX('ЖД грузы'!H:H,MATCH(A29,'ЖД грузы'!A:A,0)),""))))),"")</f>
        <v>7.4.9</v>
      </c>
      <c r="I29" s="9">
        <f>IFERROR(IF(K29="Обработка судовых документов",INDEX('Судовые документы'!I:I,MATCH(A29,'Судовые документы'!A:A,0)),IF(K29="Оформление таможенных документов",INDEX('Таможенные документы'!I:I,MATCH(A29,'Таможенные документы'!A:A,0)),IF(K29="Оформление экспортных грузов",INDEX('Экспортные грузы'!I:I,MATCH(A29,'Экспортные грузы'!A:A,0)),IF(K29="Терминальные операции",INDEX(Терминал!I:I,MATCH(A29,Терминал!A:A,0)),IF(K29="Документальное оформление ЖД грузов",INDEX('ЖД грузы'!I:I,MATCH(A29,'ЖД грузы'!A:A,0)),""))))),"")</f>
        <v>23</v>
      </c>
      <c r="J29" s="7" t="str">
        <f>IFERROR(IF(K29="Обработка судовых документов",INDEX('Судовые документы'!J:J,MATCH(A29,'Судовые документы'!A:A,0)),IF(K29="Оформление таможенных документов",INDEX('Таможенные документы'!J:J,MATCH(A29,'Таможенные документы'!A:A,0)),IF(K29="Оформление экспортных грузов",INDEX('Экспортные грузы'!J:J,MATCH(A29,'Экспортные грузы'!A:A,0)),IF(K29="Терминальные операции",INDEX(Терминал!J:J,MATCH(A29,Терминал!A:A,0)),IF(K29="Документальное оформление ЖД грузов",INDEX('ЖД грузы'!J:J,MATCH(A29,'ЖД грузы'!A:A,0)),""))))),"")</f>
        <v>Да</v>
      </c>
      <c r="K29" s="10" t="s">
        <v>22</v>
      </c>
      <c r="L29" s="11" t="str">
        <f>IFERROR(IF(K29="Обработка судовых документов",INDEX('Судовые документы'!L:L,MATCH(A29,'Судовые документы'!A:A,0)),IF(K29="Оформление таможенных документов",INDEX('Таможенные документы'!L:L,MATCH(A29,'Таможенные документы'!A:A,0)),IF(K29="Оформление экспортных грузов",INDEX('Экспортные грузы'!L:L,MATCH(A29,'Экспортные грузы'!A:A,0)),IF(K29="Терминальные операции",INDEX(Терминал!L:L,MATCH(A29,Терминал!A:A,0)),IF(K29="Документальное оформление ЖД грузов",INDEX('ЖД грузы'!L:L,MATCH(A29,'ЖД грузы'!A:A,0)),""))))),"")</f>
        <v>Средний</v>
      </c>
      <c r="M29" s="7">
        <f>IFERROR(IF(K29="Обработка судовых документов",INDEX('Судовые документы'!K:K,MATCH(A29,'Судовые документы'!A:A,0)),IF(K29="Оформление таможенных документов",INDEX('Таможенные документы'!K:K,MATCH(A29,'Таможенные документы'!A:A,0)),IF(K29="Оформление экспортных грузов",INDEX('Экспортные грузы'!K:K,MATCH(A29,'Экспортные грузы'!A:A,0)),IF(K29="Терминальные операции",INDEX(Терминал!K:K,MATCH(A29,Терминал!A:A,0)),IF(K29="Документальное оформление ЖД грузов",INDEX('ЖД грузы'!K:K,MATCH(A29,'ЖД грузы'!A:A,0)),""))))),"")</f>
        <v>0</v>
      </c>
    </row>
    <row r="30" spans="1:13" ht="39.75" customHeight="1" x14ac:dyDescent="0.3">
      <c r="A30" s="12">
        <f>Терминал!A11</f>
        <v>23</v>
      </c>
      <c r="B30" s="13" t="str">
        <f>Терминал!B11</f>
        <v>4SC-RQ-CR-717 #3074729</v>
      </c>
      <c r="C30" s="14" t="str">
        <f>Терминал!C11</f>
        <v>Оформление заявки на досмотр/взвешивание</v>
      </c>
      <c r="D30" s="15" t="str">
        <f>IFERROR(IF(K30="Обработка судовых документов",INDEX('Судовые документы'!D:D,MATCH(A30,'Судовые документы'!A:A,0)),IF(K30="Оформление таможенных документов",INDEX('Таможенные документы'!D:D,MATCH(A30,'Таможенные документы'!A:A,0)),IF(K30="Оформление экспортных грузов",INDEX('Экспортные грузы'!D:D,MATCH(A30,'Экспортные грузы'!A:A,0)),IF(K30="Терминальные операции",INDEX(Терминал!D:D,MATCH(A30,Терминал!A:A,0)),IF(K30="Документальное оформление ЖД грузов",INDEX('ЖД грузы'!D:D,MATCH(A30,'ЖД грузы'!A:A,0)),""))))),"")</f>
        <v>Реализация web-интерфейса для заявок на таможенные процедуры от ГКО</v>
      </c>
      <c r="E30" s="16" t="str">
        <f>IFERROR(IF(K30="Обработка судовых документов",INDEX('Судовые документы'!E:E,MATCH(A30,'Судовые документы'!A:A,0)),IF(K30="Оформление таможенных документов",INDEX('Таможенные документы'!E:E,MATCH(A30,'Таможенные документы'!A:A,0)),IF(K30="Оформление экспортных грузов",INDEX('Экспортные грузы'!E:E,MATCH(A30,'Экспортные грузы'!A:A,0)),IF(K30="Терминальные операции",INDEX(Терминал!E:E,MATCH(A30,Терминал!A:A,0)),IF(K30="Документальное оформление ЖД грузов",INDEX('ЖД грузы'!E:E,MATCH(A30,'ЖД грузы'!A:A,0)),""))))),"")</f>
        <v>выполнено</v>
      </c>
      <c r="F30" s="15" t="str">
        <f>IFERROR(IF(K30="Обработка судовых документов",INDEX('Судовые документы'!F:F,MATCH(A30,'Судовые документы'!A:A,0)),IF(K30="Оформление таможенных документов",INDEX('Таможенные документы'!F:F,MATCH(A30,'Таможенные документы'!A:A,0)),IF(K30="Оформление экспортных грузов",INDEX('Экспортные грузы'!F:F,MATCH(A30,'Экспортные грузы'!A:A,0)),IF(K30="Терминальные операции",INDEX(Терминал!F:F,MATCH(A30,Терминал!A:A,0)),IF(K30="Документальное оформление ЖД грузов",INDEX('ЖД грузы'!F:F,MATCH(A30,'ЖД грузы'!A:A,0)),""))))),"")</f>
        <v>Выполнено</v>
      </c>
      <c r="G30" s="15" t="str">
        <f>IFERROR(IF(K30="Обработка судовых документов",INDEX('Судовые документы'!G:G,MATCH(A30,'Судовые документы'!A:A,0)),IF(K30="Оформление таможенных документов",INDEX('Таможенные документы'!G:G,MATCH(A30,'Таможенные документы'!A:A,0)),IF(K30="Оформление экспортных грузов",INDEX('Экспортные грузы'!G:G,MATCH(A30,'Экспортные грузы'!A:A,0)),IF(K30="Терминальные операции",INDEX(Терминал!G:G,MATCH(A30,Терминал!A:A,0)),IF(K30="Документальное оформление ЖД грузов",INDEX('ЖД грузы'!G:G,MATCH(A30,'ЖД грузы'!A:A,0)),""))))),"")</f>
        <v>Установлено</v>
      </c>
      <c r="H30" s="17" t="str">
        <f>IFERROR(IF(K30="Обработка судовых документов",INDEX('Судовые документы'!H:H,MATCH(A30,'Судовые документы'!A:A,0)),IF(K30="Оформление таможенных документов",INDEX('Таможенные документы'!H:H,MATCH(A30,'Таможенные документы'!A:A,0)),IF(K30="Оформление экспортных грузов",INDEX('Экспортные грузы'!H:H,MATCH(A30,'Экспортные грузы'!A:A,0)),IF(K30="Терминальные операции",INDEX(Терминал!H:H,MATCH(A30,Терминал!A:A,0)),IF(K30="Документальное оформление ЖД грузов",INDEX('ЖД грузы'!H:H,MATCH(A30,'ЖД грузы'!A:A,0)),""))))),"")</f>
        <v>7.4.7</v>
      </c>
      <c r="I30" s="18">
        <f>IFERROR(IF(K30="Обработка судовых документов",INDEX('Судовые документы'!I:I,MATCH(A30,'Судовые документы'!A:A,0)),IF(K30="Оформление таможенных документов",INDEX('Таможенные документы'!I:I,MATCH(A30,'Таможенные документы'!A:A,0)),IF(K30="Оформление экспортных грузов",INDEX('Экспортные грузы'!I:I,MATCH(A30,'Экспортные грузы'!A:A,0)),IF(K30="Терминальные операции",INDEX(Терминал!I:I,MATCH(A30,Терминал!A:A,0)),IF(K30="Документальное оформление ЖД грузов",INDEX('ЖД грузы'!I:I,MATCH(A30,'ЖД грузы'!A:A,0)),""))))),"")</f>
        <v>60</v>
      </c>
      <c r="J30" s="16" t="str">
        <f>IFERROR(IF(K30="Обработка судовых документов",INDEX('Судовые документы'!J:J,MATCH(A30,'Судовые документы'!A:A,0)),IF(K30="Оформление таможенных документов",INDEX('Таможенные документы'!J:J,MATCH(A30,'Таможенные документы'!A:A,0)),IF(K30="Оформление экспортных грузов",INDEX('Экспортные грузы'!J:J,MATCH(A30,'Экспортные грузы'!A:A,0)),IF(K30="Терминальные операции",INDEX(Терминал!J:J,MATCH(A30,Терминал!A:A,0)),IF(K30="Документальное оформление ЖД грузов",INDEX('ЖД грузы'!J:J,MATCH(A30,'ЖД грузы'!A:A,0)),""))))),"")</f>
        <v>Да</v>
      </c>
      <c r="K30" s="19" t="s">
        <v>22</v>
      </c>
      <c r="L30" s="20" t="str">
        <f>IFERROR(IF(K30="Обработка судовых документов",INDEX('Судовые документы'!L:L,MATCH(A30,'Судовые документы'!A:A,0)),IF(K30="Оформление таможенных документов",INDEX('Таможенные документы'!L:L,MATCH(A30,'Таможенные документы'!A:A,0)),IF(K30="Оформление экспортных грузов",INDEX('Экспортные грузы'!L:L,MATCH(A30,'Экспортные грузы'!A:A,0)),IF(K30="Терминальные операции",INDEX(Терминал!L:L,MATCH(A30,Терминал!A:A,0)),IF(K30="Документальное оформление ЖД грузов",INDEX('ЖД грузы'!L:L,MATCH(A30,'ЖД грузы'!A:A,0)),""))))),"")</f>
        <v>Средний</v>
      </c>
      <c r="M30" s="16">
        <f>IFERROR(IF(K30="Обработка судовых документов",INDEX('Судовые документы'!K:K,MATCH(A30,'Судовые документы'!A:A,0)),IF(K30="Оформление таможенных документов",INDEX('Таможенные документы'!K:K,MATCH(A30,'Таможенные документы'!A:A,0)),IF(K30="Оформление экспортных грузов",INDEX('Экспортные грузы'!K:K,MATCH(A30,'Экспортные грузы'!A:A,0)),IF(K30="Терминальные операции",INDEX(Терминал!K:K,MATCH(A30,Терминал!A:A,0)),IF(K30="Документальное оформление ЖД грузов",INDEX('ЖД грузы'!K:K,MATCH(A30,'ЖД грузы'!A:A,0)),""))))),"")</f>
        <v>0</v>
      </c>
    </row>
    <row r="31" spans="1:13" ht="39.75" customHeight="1" x14ac:dyDescent="0.3">
      <c r="A31" s="3">
        <f>Терминал!A12</f>
        <v>24</v>
      </c>
      <c r="B31" s="4" t="str">
        <f>Терминал!B12</f>
        <v>4SC-RQ-CR-717 #3074729</v>
      </c>
      <c r="C31" s="5" t="str">
        <f>Терминал!C12</f>
        <v>Оформление таможенного запрета</v>
      </c>
      <c r="D31" s="6" t="str">
        <f>IFERROR(IF(K31="Обработка судовых документов",INDEX('Судовые документы'!D:D,MATCH(A31,'Судовые документы'!A:A,0)),IF(K31="Оформление таможенных документов",INDEX('Таможенные документы'!D:D,MATCH(A31,'Таможенные документы'!A:A,0)),IF(K31="Оформление экспортных грузов",INDEX('Экспортные грузы'!D:D,MATCH(A31,'Экспортные грузы'!A:A,0)),IF(K31="Терминальные операции",INDEX(Терминал!D:D,MATCH(A31,Терминал!A:A,0)),IF(K31="Документальное оформление ЖД грузов",INDEX('ЖД грузы'!D:D,MATCH(A31,'ЖД грузы'!A:A,0)),""))))),"")</f>
        <v>Оформление таможенного запрета в web-интерфейсе</v>
      </c>
      <c r="E31" s="7" t="str">
        <f>IFERROR(IF(K31="Обработка судовых документов",INDEX('Судовые документы'!E:E,MATCH(A31,'Судовые документы'!A:A,0)),IF(K31="Оформление таможенных документов",INDEX('Таможенные документы'!E:E,MATCH(A31,'Таможенные документы'!A:A,0)),IF(K31="Оформление экспортных грузов",INDEX('Экспортные грузы'!E:E,MATCH(A31,'Экспортные грузы'!A:A,0)),IF(K31="Терминальные операции",INDEX(Терминал!E:E,MATCH(A31,Терминал!A:A,0)),IF(K31="Документальное оформление ЖД грузов",INDEX('ЖД грузы'!E:E,MATCH(A31,'ЖД грузы'!A:A,0)),""))))),"")</f>
        <v>выполнено</v>
      </c>
      <c r="F31" s="6" t="str">
        <f>IFERROR(IF(K31="Обработка судовых документов",INDEX('Судовые документы'!F:F,MATCH(A31,'Судовые документы'!A:A,0)),IF(K31="Оформление таможенных документов",INDEX('Таможенные документы'!F:F,MATCH(A31,'Таможенные документы'!A:A,0)),IF(K31="Оформление экспортных грузов",INDEX('Экспортные грузы'!F:F,MATCH(A31,'Экспортные грузы'!A:A,0)),IF(K31="Терминальные операции",INDEX(Терминал!F:F,MATCH(A31,Терминал!A:A,0)),IF(K31="Документальное оформление ЖД грузов",INDEX('ЖД грузы'!F:F,MATCH(A31,'ЖД грузы'!A:A,0)),""))))),"")</f>
        <v>Выполнено</v>
      </c>
      <c r="G31" s="6" t="str">
        <f>IFERROR(IF(K31="Обработка судовых документов",INDEX('Судовые документы'!G:G,MATCH(A31,'Судовые документы'!A:A,0)),IF(K31="Оформление таможенных документов",INDEX('Таможенные документы'!G:G,MATCH(A31,'Таможенные документы'!A:A,0)),IF(K31="Оформление экспортных грузов",INDEX('Экспортные грузы'!G:G,MATCH(A31,'Экспортные грузы'!A:A,0)),IF(K31="Терминальные операции",INDEX(Терминал!G:G,MATCH(A31,Терминал!A:A,0)),IF(K31="Документальное оформление ЖД грузов",INDEX('ЖД грузы'!G:G,MATCH(A31,'ЖД грузы'!A:A,0)),""))))),"")</f>
        <v>Установлено</v>
      </c>
      <c r="H31" s="8" t="str">
        <f>IFERROR(IF(K31="Обработка судовых документов",INDEX('Судовые документы'!H:H,MATCH(A31,'Судовые документы'!A:A,0)),IF(K31="Оформление таможенных документов",INDEX('Таможенные документы'!H:H,MATCH(A31,'Таможенные документы'!A:A,0)),IF(K31="Оформление экспортных грузов",INDEX('Экспортные грузы'!H:H,MATCH(A31,'Экспортные грузы'!A:A,0)),IF(K31="Терминальные операции",INDEX(Терминал!H:H,MATCH(A31,Терминал!A:A,0)),IF(K31="Документальное оформление ЖД грузов",INDEX('ЖД грузы'!H:H,MATCH(A31,'ЖД грузы'!A:A,0)),""))))),"")</f>
        <v>7.4.7</v>
      </c>
      <c r="I31" s="9">
        <f>IFERROR(IF(K31="Обработка судовых документов",INDEX('Судовые документы'!I:I,MATCH(A31,'Судовые документы'!A:A,0)),IF(K31="Оформление таможенных документов",INDEX('Таможенные документы'!I:I,MATCH(A31,'Таможенные документы'!A:A,0)),IF(K31="Оформление экспортных грузов",INDEX('Экспортные грузы'!I:I,MATCH(A31,'Экспортные грузы'!A:A,0)),IF(K31="Терминальные операции",INDEX(Терминал!I:I,MATCH(A31,Терминал!A:A,0)),IF(K31="Документальное оформление ЖД грузов",INDEX('ЖД грузы'!I:I,MATCH(A31,'ЖД грузы'!A:A,0)),""))))),"")</f>
        <v>20</v>
      </c>
      <c r="J31" s="7" t="str">
        <f>IFERROR(IF(K31="Обработка судовых документов",INDEX('Судовые документы'!J:J,MATCH(A31,'Судовые документы'!A:A,0)),IF(K31="Оформление таможенных документов",INDEX('Таможенные документы'!J:J,MATCH(A31,'Таможенные документы'!A:A,0)),IF(K31="Оформление экспортных грузов",INDEX('Экспортные грузы'!J:J,MATCH(A31,'Экспортные грузы'!A:A,0)),IF(K31="Терминальные операции",INDEX(Терминал!J:J,MATCH(A31,Терминал!A:A,0)),IF(K31="Документальное оформление ЖД грузов",INDEX('ЖД грузы'!J:J,MATCH(A31,'ЖД грузы'!A:A,0)),""))))),"")</f>
        <v>Да</v>
      </c>
      <c r="K31" s="10" t="s">
        <v>22</v>
      </c>
      <c r="L31" s="11" t="str">
        <f>IFERROR(IF(K31="Обработка судовых документов",INDEX('Судовые документы'!L:L,MATCH(A31,'Судовые документы'!A:A,0)),IF(K31="Оформление таможенных документов",INDEX('Таможенные документы'!L:L,MATCH(A31,'Таможенные документы'!A:A,0)),IF(K31="Оформление экспортных грузов",INDEX('Экспортные грузы'!L:L,MATCH(A31,'Экспортные грузы'!A:A,0)),IF(K31="Терминальные операции",INDEX(Терминал!L:L,MATCH(A31,Терминал!A:A,0)),IF(K31="Документальное оформление ЖД грузов",INDEX('ЖД грузы'!L:L,MATCH(A31,'ЖД грузы'!A:A,0)),""))))),"")</f>
        <v>Средний</v>
      </c>
      <c r="M31" s="7">
        <f>IFERROR(IF(K31="Обработка судовых документов",INDEX('Судовые документы'!K:K,MATCH(A31,'Судовые документы'!A:A,0)),IF(K31="Оформление таможенных документов",INDEX('Таможенные документы'!K:K,MATCH(A31,'Таможенные документы'!A:A,0)),IF(K31="Оформление экспортных грузов",INDEX('Экспортные грузы'!K:K,MATCH(A31,'Экспортные грузы'!A:A,0)),IF(K31="Терминальные операции",INDEX(Терминал!K:K,MATCH(A31,Терминал!A:A,0)),IF(K31="Документальное оформление ЖД грузов",INDEX('ЖД грузы'!K:K,MATCH(A31,'ЖД грузы'!A:A,0)),""))))),"")</f>
        <v>0</v>
      </c>
    </row>
    <row r="32" spans="1:13" ht="39.75" customHeight="1" x14ac:dyDescent="0.3">
      <c r="A32" s="12">
        <f>Терминал!A13</f>
        <v>25</v>
      </c>
      <c r="B32" s="13" t="str">
        <f>Терминал!B13</f>
        <v>4SC-RQ-CR-969 #3975634</v>
      </c>
      <c r="C32" s="14" t="str">
        <f>Терминал!C13</f>
        <v>Отображение данных по досмотру в событиях ЛКК</v>
      </c>
      <c r="D32" s="15" t="str">
        <f>IFERROR(IF(K32="Обработка судовых документов",INDEX('Судовые документы'!D:D,MATCH(A32,'Судовые документы'!A:A,0)),IF(K32="Оформление таможенных документов",INDEX('Таможенные документы'!D:D,MATCH(A32,'Таможенные документы'!A:A,0)),IF(K32="Оформление экспортных грузов",INDEX('Экспортные грузы'!D:D,MATCH(A32,'Экспортные грузы'!A:A,0)),IF(K32="Терминальные операции",INDEX(Терминал!D:D,MATCH(A32,Терминал!A:A,0)),IF(K32="Документальное оформление ЖД грузов",INDEX('ЖД грузы'!D:D,MATCH(A32,'ЖД грузы'!A:A,0)),""))))),"")</f>
        <v>Доп требование от 26.09.2025</v>
      </c>
      <c r="E32" s="16" t="str">
        <f>IFERROR(IF(K32="Обработка судовых документов",INDEX('Судовые документы'!E:E,MATCH(A32,'Судовые документы'!A:A,0)),IF(K32="Оформление таможенных документов",INDEX('Таможенные документы'!E:E,MATCH(A32,'Таможенные документы'!A:A,0)),IF(K32="Оформление экспортных грузов",INDEX('Экспортные грузы'!E:E,MATCH(A32,'Экспортные грузы'!A:A,0)),IF(K32="Терминальные операции",INDEX(Терминал!E:E,MATCH(A32,Терминал!A:A,0)),IF(K32="Документальное оформление ЖД грузов",INDEX('ЖД грузы'!E:E,MATCH(A32,'ЖД грузы'!A:A,0)),""))))),"")</f>
        <v>2026</v>
      </c>
      <c r="F32" s="15" t="str">
        <f>IFERROR(IF(K32="Обработка судовых документов",INDEX('Судовые документы'!F:F,MATCH(A32,'Судовые документы'!A:A,0)),IF(K32="Оформление таможенных документов",INDEX('Таможенные документы'!F:F,MATCH(A32,'Таможенные документы'!A:A,0)),IF(K32="Оформление экспортных грузов",INDEX('Экспортные грузы'!F:F,MATCH(A32,'Экспортные грузы'!A:A,0)),IF(K32="Терминальные операции",INDEX(Терминал!F:F,MATCH(A32,Терминал!A:A,0)),IF(K32="Документальное оформление ЖД грузов",INDEX('ЖД грузы'!F:F,MATCH(A32,'ЖД грузы'!A:A,0)),""))))),"")</f>
        <v>В работе</v>
      </c>
      <c r="G32" s="15" t="str">
        <f>IFERROR(IF(K32="Обработка судовых документов",INDEX('Судовые документы'!G:G,MATCH(A32,'Судовые документы'!A:A,0)),IF(K32="Оформление таможенных документов",INDEX('Таможенные документы'!G:G,MATCH(A32,'Таможенные документы'!A:A,0)),IF(K32="Оформление экспортных грузов",INDEX('Экспортные грузы'!G:G,MATCH(A32,'Экспортные грузы'!A:A,0)),IF(K32="Терминальные операции",INDEX(Терминал!G:G,MATCH(A32,Терминал!A:A,0)),IF(K32="Документальное оформление ЖД грузов",INDEX('ЖД грузы'!G:G,MATCH(A32,'ЖД грузы'!A:A,0)),""))))),"")</f>
        <v>Ожидает рассмотрения</v>
      </c>
      <c r="H32" s="17" t="str">
        <f>IFERROR(IF(K32="Обработка судовых документов",INDEX('Судовые документы'!H:H,MATCH(A32,'Судовые документы'!A:A,0)),IF(K32="Оформление таможенных документов",INDEX('Таможенные документы'!H:H,MATCH(A32,'Таможенные документы'!A:A,0)),IF(K32="Оформление экспортных грузов",INDEX('Экспортные грузы'!H:H,MATCH(A32,'Экспортные грузы'!A:A,0)),IF(K32="Терминальные операции",INDEX(Терминал!H:H,MATCH(A32,Терминал!A:A,0)),IF(K32="Документальное оформление ЖД грузов",INDEX('ЖД грузы'!H:H,MATCH(A32,'ЖД грузы'!A:A,0)),""))))),"")</f>
        <v>Н/Д</v>
      </c>
      <c r="I32" s="18">
        <f>IFERROR(IF(K32="Обработка судовых документов",INDEX('Судовые документы'!I:I,MATCH(A32,'Судовые документы'!A:A,0)),IF(K32="Оформление таможенных документов",INDEX('Таможенные документы'!I:I,MATCH(A32,'Таможенные документы'!A:A,0)),IF(K32="Оформление экспортных грузов",INDEX('Экспортные грузы'!I:I,MATCH(A32,'Экспортные грузы'!A:A,0)),IF(K32="Терминальные операции",INDEX(Терминал!I:I,MATCH(A32,Терминал!A:A,0)),IF(K32="Документальное оформление ЖД грузов",INDEX('ЖД грузы'!I:I,MATCH(A32,'ЖД грузы'!A:A,0)),""))))),"")</f>
        <v>0</v>
      </c>
      <c r="J32" s="16" t="str">
        <f>IFERROR(IF(K32="Обработка судовых документов",INDEX('Судовые документы'!J:J,MATCH(A32,'Судовые документы'!A:A,0)),IF(K32="Оформление таможенных документов",INDEX('Таможенные документы'!J:J,MATCH(A32,'Таможенные документы'!A:A,0)),IF(K32="Оформление экспортных грузов",INDEX('Экспортные грузы'!J:J,MATCH(A32,'Экспортные грузы'!A:A,0)),IF(K32="Терминальные операции",INDEX(Терминал!J:J,MATCH(A32,Терминал!A:A,0)),IF(K32="Документальное оформление ЖД грузов",INDEX('ЖД грузы'!J:J,MATCH(A32,'ЖД грузы'!A:A,0)),""))))),"")</f>
        <v>Нет</v>
      </c>
      <c r="K32" s="19" t="s">
        <v>22</v>
      </c>
      <c r="L32" s="20" t="str">
        <f>IFERROR(IF(K32="Обработка судовых документов",INDEX('Судовые документы'!L:L,MATCH(A32,'Судовые документы'!A:A,0)),IF(K32="Оформление таможенных документов",INDEX('Таможенные документы'!L:L,MATCH(A32,'Таможенные документы'!A:A,0)),IF(K32="Оформление экспортных грузов",INDEX('Экспортные грузы'!L:L,MATCH(A32,'Экспортные грузы'!A:A,0)),IF(K32="Терминальные операции",INDEX(Терминал!L:L,MATCH(A32,Терминал!A:A,0)),IF(K32="Документальное оформление ЖД грузов",INDEX('ЖД грузы'!L:L,MATCH(A32,'ЖД грузы'!A:A,0)),""))))),"")</f>
        <v>Средний</v>
      </c>
      <c r="M32" s="16">
        <f>IFERROR(IF(K32="Обработка судовых документов",INDEX('Судовые документы'!K:K,MATCH(A32,'Судовые документы'!A:A,0)),IF(K32="Оформление таможенных документов",INDEX('Таможенные документы'!K:K,MATCH(A32,'Таможенные документы'!A:A,0)),IF(K32="Оформление экспортных грузов",INDEX('Экспортные грузы'!K:K,MATCH(A32,'Экспортные грузы'!A:A,0)),IF(K32="Терминальные операции",INDEX(Терминал!K:K,MATCH(A32,Терминал!A:A,0)),IF(K32="Документальное оформление ЖД грузов",INDEX('ЖД грузы'!K:K,MATCH(A32,'ЖД грузы'!A:A,0)),""))))),"")</f>
        <v>0</v>
      </c>
    </row>
    <row r="33" spans="1:13" ht="39.75" customHeight="1" x14ac:dyDescent="0.3">
      <c r="A33" s="3">
        <f>Терминал!A14</f>
        <v>26</v>
      </c>
      <c r="B33" s="4" t="str">
        <f>Терминал!B14</f>
        <v>4SC-RQ-CR-588 #2747185</v>
      </c>
      <c r="C33" s="5" t="str">
        <f>Терминал!C14</f>
        <v>Оформление номинации</v>
      </c>
      <c r="D33" s="6" t="str">
        <f>IFERROR(IF(K33="Обработка судовых документов",INDEX('Судовые документы'!D:D,MATCH(A33,'Судовые документы'!A:A,0)),IF(K33="Оформление таможенных документов",INDEX('Таможенные документы'!D:D,MATCH(A33,'Таможенные документы'!A:A,0)),IF(K33="Оформление экспортных грузов",INDEX('Экспортные грузы'!D:D,MATCH(A33,'Экспортные грузы'!A:A,0)),IF(K33="Терминальные операции",INDEX(Терминал!D:D,MATCH(A33,Терминал!A:A,0)),IF(K33="Документальное оформление ЖД грузов",INDEX('ЖД грузы'!D:D,MATCH(A33,'ЖД грузы'!A:A,0)),""))))),"")</f>
        <v>Реализация в ЛКК функционала для оформления номинаций. Разделение: Номинация + релиз</v>
      </c>
      <c r="E33" s="7" t="str">
        <f>IFERROR(IF(K33="Обработка судовых документов",INDEX('Судовые документы'!E:E,MATCH(A33,'Судовые документы'!A:A,0)),IF(K33="Оформление таможенных документов",INDEX('Таможенные документы'!E:E,MATCH(A33,'Таможенные документы'!A:A,0)),IF(K33="Оформление экспортных грузов",INDEX('Экспортные грузы'!E:E,MATCH(A33,'Экспортные грузы'!A:A,0)),IF(K33="Терминальные операции",INDEX(Терминал!E:E,MATCH(A33,Терминал!A:A,0)),IF(K33="Документальное оформление ЖД грузов",INDEX('ЖД грузы'!E:E,MATCH(A33,'ЖД грузы'!A:A,0)),""))))),"")</f>
        <v>выполнено</v>
      </c>
      <c r="F33" s="6" t="str">
        <f>IFERROR(IF(K33="Обработка судовых документов",INDEX('Судовые документы'!F:F,MATCH(A33,'Судовые документы'!A:A,0)),IF(K33="Оформление таможенных документов",INDEX('Таможенные документы'!F:F,MATCH(A33,'Таможенные документы'!A:A,0)),IF(K33="Оформление экспортных грузов",INDEX('Экспортные грузы'!F:F,MATCH(A33,'Экспортные грузы'!A:A,0)),IF(K33="Терминальные операции",INDEX(Терминал!F:F,MATCH(A33,Терминал!A:A,0)),IF(K33="Документальное оформление ЖД грузов",INDEX('ЖД грузы'!F:F,MATCH(A33,'ЖД грузы'!A:A,0)),""))))),"")</f>
        <v>Выполнено</v>
      </c>
      <c r="G33" s="6" t="str">
        <f>IFERROR(IF(K33="Обработка судовых документов",INDEX('Судовые документы'!G:G,MATCH(A33,'Судовые документы'!A:A,0)),IF(K33="Оформление таможенных документов",INDEX('Таможенные документы'!G:G,MATCH(A33,'Таможенные документы'!A:A,0)),IF(K33="Оформление экспортных грузов",INDEX('Экспортные грузы'!G:G,MATCH(A33,'Экспортные грузы'!A:A,0)),IF(K33="Терминальные операции",INDEX(Терминал!G:G,MATCH(A33,Терминал!A:A,0)),IF(K33="Документальное оформление ЖД грузов",INDEX('ЖД грузы'!G:G,MATCH(A33,'ЖД грузы'!A:A,0)),""))))),"")</f>
        <v>Не СОЛВО</v>
      </c>
      <c r="H33" s="8" t="str">
        <f>IFERROR(IF(K33="Обработка судовых документов",INDEX('Судовые документы'!H:H,MATCH(A33,'Судовые документы'!A:A,0)),IF(K33="Оформление таможенных документов",INDEX('Таможенные документы'!H:H,MATCH(A33,'Таможенные документы'!A:A,0)),IF(K33="Оформление экспортных грузов",INDEX('Экспортные грузы'!H:H,MATCH(A33,'Экспортные грузы'!A:A,0)),IF(K33="Терминальные операции",INDEX(Терминал!H:H,MATCH(A33,Терминал!A:A,0)),IF(K33="Документальное оформление ЖД грузов",INDEX('ЖД грузы'!H:H,MATCH(A33,'ЖД грузы'!A:A,0)),""))))),"")</f>
        <v>Не СОЛВО</v>
      </c>
      <c r="I33" s="9">
        <f>IFERROR(IF(K33="Обработка судовых документов",INDEX('Судовые документы'!I:I,MATCH(A33,'Судовые документы'!A:A,0)),IF(K33="Оформление таможенных документов",INDEX('Таможенные документы'!I:I,MATCH(A33,'Таможенные документы'!A:A,0)),IF(K33="Оформление экспортных грузов",INDEX('Экспортные грузы'!I:I,MATCH(A33,'Экспортные грузы'!A:A,0)),IF(K33="Терминальные операции",INDEX(Терминал!I:I,MATCH(A33,Терминал!A:A,0)),IF(K33="Документальное оформление ЖД грузов",INDEX('ЖД грузы'!I:I,MATCH(A33,'ЖД грузы'!A:A,0)),""))))),"")</f>
        <v>0</v>
      </c>
      <c r="J33" s="7" t="str">
        <f>IFERROR(IF(K33="Обработка судовых документов",INDEX('Судовые документы'!J:J,MATCH(A33,'Судовые документы'!A:A,0)),IF(K33="Оформление таможенных документов",INDEX('Таможенные документы'!J:J,MATCH(A33,'Таможенные документы'!A:A,0)),IF(K33="Оформление экспортных грузов",INDEX('Экспортные грузы'!J:J,MATCH(A33,'Экспортные грузы'!A:A,0)),IF(K33="Терминальные операции",INDEX(Терминал!J:J,MATCH(A33,Терминал!A:A,0)),IF(K33="Документальное оформление ЖД грузов",INDEX('ЖД грузы'!J:J,MATCH(A33,'ЖД грузы'!A:A,0)),""))))),"")</f>
        <v>Да</v>
      </c>
      <c r="K33" s="10" t="s">
        <v>22</v>
      </c>
      <c r="L33" s="11" t="str">
        <f>IFERROR(IF(K33="Обработка судовых документов",INDEX('Судовые документы'!L:L,MATCH(A33,'Судовые документы'!A:A,0)),IF(K33="Оформление таможенных документов",INDEX('Таможенные документы'!L:L,MATCH(A33,'Таможенные документы'!A:A,0)),IF(K33="Оформление экспортных грузов",INDEX('Экспортные грузы'!L:L,MATCH(A33,'Экспортные грузы'!A:A,0)),IF(K33="Терминальные операции",INDEX(Терминал!L:L,MATCH(A33,Терминал!A:A,0)),IF(K33="Документальное оформление ЖД грузов",INDEX('ЖД грузы'!L:L,MATCH(A33,'ЖД грузы'!A:A,0)),""))))),"")</f>
        <v>Средний</v>
      </c>
      <c r="M33" s="7">
        <f>IFERROR(IF(K33="Обработка судовых документов",INDEX('Судовые документы'!K:K,MATCH(A33,'Судовые документы'!A:A,0)),IF(K33="Оформление таможенных документов",INDEX('Таможенные документы'!K:K,MATCH(A33,'Таможенные документы'!A:A,0)),IF(K33="Оформление экспортных грузов",INDEX('Экспортные грузы'!K:K,MATCH(A33,'Экспортные грузы'!A:A,0)),IF(K33="Терминальные операции",INDEX(Терминал!K:K,MATCH(A33,Терминал!A:A,0)),IF(K33="Документальное оформление ЖД грузов",INDEX('ЖД грузы'!K:K,MATCH(A33,'ЖД грузы'!A:A,0)),""))))),"")</f>
        <v>0</v>
      </c>
    </row>
    <row r="34" spans="1:13" ht="39.75" customHeight="1" x14ac:dyDescent="0.3">
      <c r="A34" s="12">
        <f>Терминал!A15</f>
        <v>27</v>
      </c>
      <c r="B34" s="13" t="str">
        <f>Терминал!B15</f>
        <v>4SC-1-RQ-CR-791 #3304099</v>
      </c>
      <c r="C34" s="14" t="str">
        <f>Терминал!C15</f>
        <v>Услуги контейнерного сервиса / навешивание пломб</v>
      </c>
      <c r="D34" s="15" t="str">
        <f>IFERROR(IF(K34="Обработка судовых документов",INDEX('Судовые документы'!D:D,MATCH(A34,'Судовые документы'!A:A,0)),IF(K34="Оформление таможенных документов",INDEX('Таможенные документы'!D:D,MATCH(A34,'Таможенные документы'!A:A,0)),IF(K34="Оформление экспортных грузов",INDEX('Экспортные грузы'!D:D,MATCH(A34,'Экспортные грузы'!A:A,0)),IF(K34="Терминальные операции",INDEX(Терминал!D:D,MATCH(A34,Терминал!A:A,0)),IF(K34="Документальное оформление ЖД грузов",INDEX('ЖД грузы'!D:D,MATCH(A34,'ЖД грузы'!A:A,0)),""))))),"")</f>
        <v>Реализация в ЛКК интерфейса для заявок на коммерческие услуги</v>
      </c>
      <c r="E34" s="16" t="str">
        <f>IFERROR(IF(K34="Обработка судовых документов",INDEX('Судовые документы'!E:E,MATCH(A34,'Судовые документы'!A:A,0)),IF(K34="Оформление таможенных документов",INDEX('Таможенные документы'!E:E,MATCH(A34,'Таможенные документы'!A:A,0)),IF(K34="Оформление экспортных грузов",INDEX('Экспортные грузы'!E:E,MATCH(A34,'Экспортные грузы'!A:A,0)),IF(K34="Терминальные операции",INDEX(Терминал!E:E,MATCH(A34,Терминал!A:A,0)),IF(K34="Документальное оформление ЖД грузов",INDEX('ЖД грузы'!E:E,MATCH(A34,'ЖД грузы'!A:A,0)),""))))),"")</f>
        <v>ОПЭ</v>
      </c>
      <c r="F34" s="15" t="str">
        <f>IFERROR(IF(K34="Обработка судовых документов",INDEX('Судовые документы'!F:F,MATCH(A34,'Судовые документы'!A:A,0)),IF(K34="Оформление таможенных документов",INDEX('Таможенные документы'!F:F,MATCH(A34,'Таможенные документы'!A:A,0)),IF(K34="Оформление экспортных грузов",INDEX('Экспортные грузы'!F:F,MATCH(A34,'Экспортные грузы'!A:A,0)),IF(K34="Терминальные операции",INDEX(Терминал!F:F,MATCH(A34,Терминал!A:A,0)),IF(K34="Документальное оформление ЖД грузов",INDEX('ЖД грузы'!F:F,MATCH(A34,'ЖД грузы'!A:A,0)),""))))),"")</f>
        <v>ОПЭ</v>
      </c>
      <c r="G34" s="15" t="str">
        <f>IFERROR(IF(K34="Обработка судовых документов",INDEX('Судовые документы'!G:G,MATCH(A34,'Судовые документы'!A:A,0)),IF(K34="Оформление таможенных документов",INDEX('Таможенные документы'!G:G,MATCH(A34,'Таможенные документы'!A:A,0)),IF(K34="Оформление экспортных грузов",INDEX('Экспортные грузы'!G:G,MATCH(A34,'Экспортные грузы'!A:A,0)),IF(K34="Терминальные операции",INDEX(Терминал!G:G,MATCH(A34,Терминал!A:A,0)),IF(K34="Документальное оформление ЖД грузов",INDEX('ЖД грузы'!G:G,MATCH(A34,'ЖД грузы'!A:A,0)),""))))),"")</f>
        <v>Установлено</v>
      </c>
      <c r="H34" s="17" t="str">
        <f>IFERROR(IF(K34="Обработка судовых документов",INDEX('Судовые документы'!H:H,MATCH(A34,'Судовые документы'!A:A,0)),IF(K34="Оформление таможенных документов",INDEX('Таможенные документы'!H:H,MATCH(A34,'Таможенные документы'!A:A,0)),IF(K34="Оформление экспортных грузов",INDEX('Экспортные грузы'!H:H,MATCH(A34,'Экспортные грузы'!A:A,0)),IF(K34="Терминальные операции",INDEX(Терминал!H:H,MATCH(A34,Терминал!A:A,0)),IF(K34="Документальное оформление ЖД грузов",INDEX('ЖД грузы'!H:H,MATCH(A34,'ЖД грузы'!A:A,0)),""))))),"")</f>
        <v>7.4.7</v>
      </c>
      <c r="I34" s="18">
        <f>IFERROR(IF(K34="Обработка судовых документов",INDEX('Судовые документы'!I:I,MATCH(A34,'Судовые документы'!A:A,0)),IF(K34="Оформление таможенных документов",INDEX('Таможенные документы'!I:I,MATCH(A34,'Таможенные документы'!A:A,0)),IF(K34="Оформление экспортных грузов",INDEX('Экспортные грузы'!I:I,MATCH(A34,'Экспортные грузы'!A:A,0)),IF(K34="Терминальные операции",INDEX(Терминал!I:I,MATCH(A34,Терминал!A:A,0)),IF(K34="Документальное оформление ЖД грузов",INDEX('ЖД грузы'!I:I,MATCH(A34,'ЖД грузы'!A:A,0)),""))))),"")</f>
        <v>140</v>
      </c>
      <c r="J34" s="16" t="str">
        <f>IFERROR(IF(K34="Обработка судовых документов",INDEX('Судовые документы'!J:J,MATCH(A34,'Судовые документы'!A:A,0)),IF(K34="Оформление таможенных документов",INDEX('Таможенные документы'!J:J,MATCH(A34,'Таможенные документы'!A:A,0)),IF(K34="Оформление экспортных грузов",INDEX('Экспортные грузы'!J:J,MATCH(A34,'Экспортные грузы'!A:A,0)),IF(K34="Терминальные операции",INDEX(Терминал!J:J,MATCH(A34,Терминал!A:A,0)),IF(K34="Документальное оформление ЖД грузов",INDEX('ЖД грузы'!J:J,MATCH(A34,'ЖД грузы'!A:A,0)),""))))),"")</f>
        <v>Да</v>
      </c>
      <c r="K34" s="19" t="s">
        <v>22</v>
      </c>
      <c r="L34" s="20" t="str">
        <f>IFERROR(IF(K34="Обработка судовых документов",INDEX('Судовые документы'!L:L,MATCH(A34,'Судовые документы'!A:A,0)),IF(K34="Оформление таможенных документов",INDEX('Таможенные документы'!L:L,MATCH(A34,'Таможенные документы'!A:A,0)),IF(K34="Оформление экспортных грузов",INDEX('Экспортные грузы'!L:L,MATCH(A34,'Экспортные грузы'!A:A,0)),IF(K34="Терминальные операции",INDEX(Терминал!L:L,MATCH(A34,Терминал!A:A,0)),IF(K34="Документальное оформление ЖД грузов",INDEX('ЖД грузы'!L:L,MATCH(A34,'ЖД грузы'!A:A,0)),""))))),"")</f>
        <v>Средний</v>
      </c>
      <c r="M34" s="16">
        <f>IFERROR(IF(K34="Обработка судовых документов",INDEX('Судовые документы'!K:K,MATCH(A34,'Судовые документы'!A:A,0)),IF(K34="Оформление таможенных документов",INDEX('Таможенные документы'!K:K,MATCH(A34,'Таможенные документы'!A:A,0)),IF(K34="Оформление экспортных грузов",INDEX('Экспортные грузы'!K:K,MATCH(A34,'Экспортные грузы'!A:A,0)),IF(K34="Терминальные операции",INDEX(Терминал!K:K,MATCH(A34,Терминал!A:A,0)),IF(K34="Документальное оформление ЖД грузов",INDEX('ЖД грузы'!K:K,MATCH(A34,'ЖД грузы'!A:A,0)),""))))),"")</f>
        <v>0</v>
      </c>
    </row>
    <row r="35" spans="1:13" ht="39.75" customHeight="1" x14ac:dyDescent="0.3">
      <c r="A35" s="3">
        <f>Терминал!A16</f>
        <v>28</v>
      </c>
      <c r="B35" s="4" t="str">
        <f>Терминал!B16</f>
        <v>4SC-1-RQ-CR-791 #3304099</v>
      </c>
      <c r="C35" s="5" t="str">
        <f>Терминал!C16</f>
        <v>Оформление заявок на навешивание пломб РЖД</v>
      </c>
      <c r="D35" s="6" t="str">
        <f>IFERROR(IF(K35="Обработка судовых документов",INDEX('Судовые документы'!D:D,MATCH(A35,'Судовые документы'!A:A,0)),IF(K35="Оформление таможенных документов",INDEX('Таможенные документы'!D:D,MATCH(A35,'Таможенные документы'!A:A,0)),IF(K35="Оформление экспортных грузов",INDEX('Экспортные грузы'!D:D,MATCH(A35,'Экспортные грузы'!A:A,0)),IF(K35="Терминальные операции",INDEX(Терминал!D:D,MATCH(A35,Терминал!A:A,0)),IF(K35="Документальное оформление ЖД грузов",INDEX('ЖД грузы'!D:D,MATCH(A35,'ЖД грузы'!A:A,0)),""))))),"")</f>
        <v>Связана с задачей «Услуги контейнерного сервиса»</v>
      </c>
      <c r="E35" s="7" t="str">
        <f>IFERROR(IF(K35="Обработка судовых документов",INDEX('Судовые документы'!E:E,MATCH(A35,'Судовые документы'!A:A,0)),IF(K35="Оформление таможенных документов",INDEX('Таможенные документы'!E:E,MATCH(A35,'Таможенные документы'!A:A,0)),IF(K35="Оформление экспортных грузов",INDEX('Экспортные грузы'!E:E,MATCH(A35,'Экспортные грузы'!A:A,0)),IF(K35="Терминальные операции",INDEX(Терминал!E:E,MATCH(A35,Терминал!A:A,0)),IF(K35="Документальное оформление ЖД грузов",INDEX('ЖД грузы'!E:E,MATCH(A35,'ЖД грузы'!A:A,0)),""))))),"")</f>
        <v>ОПЭ</v>
      </c>
      <c r="F35" s="6" t="str">
        <f>IFERROR(IF(K35="Обработка судовых документов",INDEX('Судовые документы'!F:F,MATCH(A35,'Судовые документы'!A:A,0)),IF(K35="Оформление таможенных документов",INDEX('Таможенные документы'!F:F,MATCH(A35,'Таможенные документы'!A:A,0)),IF(K35="Оформление экспортных грузов",INDEX('Экспортные грузы'!F:F,MATCH(A35,'Экспортные грузы'!A:A,0)),IF(K35="Терминальные операции",INDEX(Терминал!F:F,MATCH(A35,Терминал!A:A,0)),IF(K35="Документальное оформление ЖД грузов",INDEX('ЖД грузы'!F:F,MATCH(A35,'ЖД грузы'!A:A,0)),""))))),"")</f>
        <v>ОПЭ</v>
      </c>
      <c r="G35" s="6" t="str">
        <f>IFERROR(IF(K35="Обработка судовых документов",INDEX('Судовые документы'!G:G,MATCH(A35,'Судовые документы'!A:A,0)),IF(K35="Оформление таможенных документов",INDEX('Таможенные документы'!G:G,MATCH(A35,'Таможенные документы'!A:A,0)),IF(K35="Оформление экспортных грузов",INDEX('Экспортные грузы'!G:G,MATCH(A35,'Экспортные грузы'!A:A,0)),IF(K35="Терминальные операции",INDEX(Терминал!G:G,MATCH(A35,Терминал!A:A,0)),IF(K35="Документальное оформление ЖД грузов",INDEX('ЖД грузы'!G:G,MATCH(A35,'ЖД грузы'!A:A,0)),""))))),"")</f>
        <v>Установлено</v>
      </c>
      <c r="H35" s="8" t="str">
        <f>IFERROR(IF(K35="Обработка судовых документов",INDEX('Судовые документы'!H:H,MATCH(A35,'Судовые документы'!A:A,0)),IF(K35="Оформление таможенных документов",INDEX('Таможенные документы'!H:H,MATCH(A35,'Таможенные документы'!A:A,0)),IF(K35="Оформление экспортных грузов",INDEX('Экспортные грузы'!H:H,MATCH(A35,'Экспортные грузы'!A:A,0)),IF(K35="Терминальные операции",INDEX(Терминал!H:H,MATCH(A35,Терминал!A:A,0)),IF(K35="Документальное оформление ЖД грузов",INDEX('ЖД грузы'!H:H,MATCH(A35,'ЖД грузы'!A:A,0)),""))))),"")</f>
        <v>7.4.5</v>
      </c>
      <c r="I35" s="9">
        <f>IFERROR(IF(K35="Обработка судовых документов",INDEX('Судовые документы'!I:I,MATCH(A35,'Судовые документы'!A:A,0)),IF(K35="Оформление таможенных документов",INDEX('Таможенные документы'!I:I,MATCH(A35,'Таможенные документы'!A:A,0)),IF(K35="Оформление экспортных грузов",INDEX('Экспортные грузы'!I:I,MATCH(A35,'Экспортные грузы'!A:A,0)),IF(K35="Терминальные операции",INDEX(Терминал!I:I,MATCH(A35,Терминал!A:A,0)),IF(K35="Документальное оформление ЖД грузов",INDEX('ЖД грузы'!I:I,MATCH(A35,'ЖД грузы'!A:A,0)),""))))),"")</f>
        <v>0</v>
      </c>
      <c r="J35" s="7" t="str">
        <f>IFERROR(IF(K35="Обработка судовых документов",INDEX('Судовые документы'!J:J,MATCH(A35,'Судовые документы'!A:A,0)),IF(K35="Оформление таможенных документов",INDEX('Таможенные документы'!J:J,MATCH(A35,'Таможенные документы'!A:A,0)),IF(K35="Оформление экспортных грузов",INDEX('Экспортные грузы'!J:J,MATCH(A35,'Экспортные грузы'!A:A,0)),IF(K35="Терминальные операции",INDEX(Терминал!J:J,MATCH(A35,Терминал!A:A,0)),IF(K35="Документальное оформление ЖД грузов",INDEX('ЖД грузы'!J:J,MATCH(A35,'ЖД грузы'!A:A,0)),""))))),"")</f>
        <v>Нет</v>
      </c>
      <c r="K35" s="10" t="s">
        <v>22</v>
      </c>
      <c r="L35" s="11" t="str">
        <f>IFERROR(IF(K35="Обработка судовых документов",INDEX('Судовые документы'!L:L,MATCH(A35,'Судовые документы'!A:A,0)),IF(K35="Оформление таможенных документов",INDEX('Таможенные документы'!L:L,MATCH(A35,'Таможенные документы'!A:A,0)),IF(K35="Оформление экспортных грузов",INDEX('Экспортные грузы'!L:L,MATCH(A35,'Экспортные грузы'!A:A,0)),IF(K35="Терминальные операции",INDEX(Терминал!L:L,MATCH(A35,Терминал!A:A,0)),IF(K35="Документальное оформление ЖД грузов",INDEX('ЖД грузы'!L:L,MATCH(A35,'ЖД грузы'!A:A,0)),""))))),"")</f>
        <v>Средний</v>
      </c>
      <c r="M35" s="7">
        <f>IFERROR(IF(K35="Обработка судовых документов",INDEX('Судовые документы'!K:K,MATCH(A35,'Судовые документы'!A:A,0)),IF(K35="Оформление таможенных документов",INDEX('Таможенные документы'!K:K,MATCH(A35,'Таможенные документы'!A:A,0)),IF(K35="Оформление экспортных грузов",INDEX('Экспортные грузы'!K:K,MATCH(A35,'Экспортные грузы'!A:A,0)),IF(K35="Терминальные операции",INDEX(Терминал!K:K,MATCH(A35,Терминал!A:A,0)),IF(K35="Документальное оформление ЖД грузов",INDEX('ЖД грузы'!K:K,MATCH(A35,'ЖД грузы'!A:A,0)),""))))),"")</f>
        <v>0</v>
      </c>
    </row>
    <row r="36" spans="1:13" ht="39.75" customHeight="1" x14ac:dyDescent="0.3">
      <c r="A36" s="12">
        <f>Терминал!A17</f>
        <v>29</v>
      </c>
      <c r="B36" s="13" t="str">
        <f>Терминал!B17</f>
        <v>4SC-RQ-CR-902 #3782827</v>
      </c>
      <c r="C36" s="14" t="str">
        <f>Терминал!C17</f>
        <v>Генерация номера заявки на услуги</v>
      </c>
      <c r="D36" s="15" t="str">
        <f>IFERROR(IF(K36="Обработка судовых документов",INDEX('Судовые документы'!D:D,MATCH(A36,'Судовые документы'!A:A,0)),IF(K36="Оформление таможенных документов",INDEX('Таможенные документы'!D:D,MATCH(A36,'Таможенные документы'!A:A,0)),IF(K36="Оформление экспортных грузов",INDEX('Экспортные грузы'!D:D,MATCH(A36,'Экспортные грузы'!A:A,0)),IF(K36="Терминальные операции",INDEX(Терминал!D:D,MATCH(A36,Терминал!A:A,0)),IF(K36="Документальное оформление ЖД грузов",INDEX('ЖД грузы'!D:D,MATCH(A36,'ЖД грузы'!A:A,0)),""))))),"")</f>
        <v>Операции с контейнерами — Заявки на универсальные услуги</v>
      </c>
      <c r="E36" s="16" t="str">
        <f>IFERROR(IF(K36="Обработка судовых документов",INDEX('Судовые документы'!E:E,MATCH(A36,'Судовые документы'!A:A,0)),IF(K36="Оформление таможенных документов",INDEX('Таможенные документы'!E:E,MATCH(A36,'Таможенные документы'!A:A,0)),IF(K36="Оформление экспортных грузов",INDEX('Экспортные грузы'!E:E,MATCH(A36,'Экспортные грузы'!A:A,0)),IF(K36="Терминальные операции",INDEX(Терминал!E:E,MATCH(A36,Терминал!A:A,0)),IF(K36="Документальное оформление ЖД грузов",INDEX('ЖД грузы'!E:E,MATCH(A36,'ЖД грузы'!A:A,0)),""))))),"")</f>
        <v>2026</v>
      </c>
      <c r="F36" s="15" t="str">
        <f>IFERROR(IF(K36="Обработка судовых документов",INDEX('Судовые документы'!F:F,MATCH(A36,'Судовые документы'!A:A,0)),IF(K36="Оформление таможенных документов",INDEX('Таможенные документы'!F:F,MATCH(A36,'Таможенные документы'!A:A,0)),IF(K36="Оформление экспортных грузов",INDEX('Экспортные грузы'!F:F,MATCH(A36,'Экспортные грузы'!A:A,0)),IF(K36="Терминальные операции",INDEX(Терминал!F:F,MATCH(A36,Терминал!A:A,0)),IF(K36="Документальное оформление ЖД грузов",INDEX('ЖД грузы'!F:F,MATCH(A36,'ЖД грузы'!A:A,0)),""))))),"")</f>
        <v>В работе</v>
      </c>
      <c r="G36" s="15" t="str">
        <f>IFERROR(IF(K36="Обработка судовых документов",INDEX('Судовые документы'!G:G,MATCH(A36,'Судовые документы'!A:A,0)),IF(K36="Оформление таможенных документов",INDEX('Таможенные документы'!G:G,MATCH(A36,'Таможенные документы'!A:A,0)),IF(K36="Оформление экспортных грузов",INDEX('Экспортные грузы'!G:G,MATCH(A36,'Экспортные грузы'!A:A,0)),IF(K36="Терминальные операции",INDEX(Терминал!G:G,MATCH(A36,Терминал!A:A,0)),IF(K36="Документальное оформление ЖД грузов",INDEX('ЖД грузы'!G:G,MATCH(A36,'ЖД грузы'!A:A,0)),""))))),"")</f>
        <v>Тестирование</v>
      </c>
      <c r="H36" s="17" t="str">
        <f>IFERROR(IF(K36="Обработка судовых документов",INDEX('Судовые документы'!H:H,MATCH(A36,'Судовые документы'!A:A,0)),IF(K36="Оформление таможенных документов",INDEX('Таможенные документы'!H:H,MATCH(A36,'Таможенные документы'!A:A,0)),IF(K36="Оформление экспортных грузов",INDEX('Экспортные грузы'!H:H,MATCH(A36,'Экспортные грузы'!A:A,0)),IF(K36="Терминальные операции",INDEX(Терминал!H:H,MATCH(A36,Терминал!A:A,0)),IF(K36="Документальное оформление ЖД грузов",INDEX('ЖД грузы'!H:H,MATCH(A36,'ЖД грузы'!A:A,0)),""))))),"")</f>
        <v>7.4.10</v>
      </c>
      <c r="I36" s="18">
        <f>IFERROR(IF(K36="Обработка судовых документов",INDEX('Судовые документы'!I:I,MATCH(A36,'Судовые документы'!A:A,0)),IF(K36="Оформление таможенных документов",INDEX('Таможенные документы'!I:I,MATCH(A36,'Таможенные документы'!A:A,0)),IF(K36="Оформление экспортных грузов",INDEX('Экспортные грузы'!I:I,MATCH(A36,'Экспортные грузы'!A:A,0)),IF(K36="Терминальные операции",INDEX(Терминал!I:I,MATCH(A36,Терминал!A:A,0)),IF(K36="Документальное оформление ЖД грузов",INDEX('ЖД грузы'!I:I,MATCH(A36,'ЖД грузы'!A:A,0)),""))))),"")</f>
        <v>8</v>
      </c>
      <c r="J36" s="16" t="str">
        <f>IFERROR(IF(K36="Обработка судовых документов",INDEX('Судовые документы'!J:J,MATCH(A36,'Судовые документы'!A:A,0)),IF(K36="Оформление таможенных документов",INDEX('Таможенные документы'!J:J,MATCH(A36,'Таможенные документы'!A:A,0)),IF(K36="Оформление экспортных грузов",INDEX('Экспортные грузы'!J:J,MATCH(A36,'Экспортные грузы'!A:A,0)),IF(K36="Терминальные операции",INDEX(Терминал!J:J,MATCH(A36,Терминал!A:A,0)),IF(K36="Документальное оформление ЖД грузов",INDEX('ЖД грузы'!J:J,MATCH(A36,'ЖД грузы'!A:A,0)),""))))),"")</f>
        <v>Да</v>
      </c>
      <c r="K36" s="19" t="s">
        <v>22</v>
      </c>
      <c r="L36" s="20" t="str">
        <f>IFERROR(IF(K36="Обработка судовых документов",INDEX('Судовые документы'!L:L,MATCH(A36,'Судовые документы'!A:A,0)),IF(K36="Оформление таможенных документов",INDEX('Таможенные документы'!L:L,MATCH(A36,'Таможенные документы'!A:A,0)),IF(K36="Оформление экспортных грузов",INDEX('Экспортные грузы'!L:L,MATCH(A36,'Экспортные грузы'!A:A,0)),IF(K36="Терминальные операции",INDEX(Терминал!L:L,MATCH(A36,Терминал!A:A,0)),IF(K36="Документальное оформление ЖД грузов",INDEX('ЖД грузы'!L:L,MATCH(A36,'ЖД грузы'!A:A,0)),""))))),"")</f>
        <v>Средний</v>
      </c>
      <c r="M36" s="16">
        <f>IFERROR(IF(K36="Обработка судовых документов",INDEX('Судовые документы'!K:K,MATCH(A36,'Судовые документы'!A:A,0)),IF(K36="Оформление таможенных документов",INDEX('Таможенные документы'!K:K,MATCH(A36,'Таможенные документы'!A:A,0)),IF(K36="Оформление экспортных грузов",INDEX('Экспортные грузы'!K:K,MATCH(A36,'Экспортные грузы'!A:A,0)),IF(K36="Терминальные операции",INDEX(Терминал!K:K,MATCH(A36,Терминал!A:A,0)),IF(K36="Документальное оформление ЖД грузов",INDEX('ЖД грузы'!K:K,MATCH(A36,'ЖД грузы'!A:A,0)),""))))),"")</f>
        <v>0</v>
      </c>
    </row>
    <row r="37" spans="1:13" ht="39.75" customHeight="1" x14ac:dyDescent="0.3">
      <c r="A37" s="3">
        <f>Терминал!A18</f>
        <v>30</v>
      </c>
      <c r="B37" s="4" t="str">
        <f>Терминал!B18</f>
        <v>4SC-1-RQ-CR-807 #3320311</v>
      </c>
      <c r="C37" s="5" t="str">
        <f>Терминал!C18</f>
        <v>Изменение данных при обращении клиента</v>
      </c>
      <c r="D37" s="6" t="str">
        <f>IFERROR(IF(K37="Обработка судовых документов",INDEX('Судовые документы'!D:D,MATCH(A37,'Судовые документы'!A:A,0)),IF(K37="Оформление таможенных документов",INDEX('Таможенные документы'!D:D,MATCH(A37,'Таможенные документы'!A:A,0)),IF(K37="Оформление экспортных грузов",INDEX('Экспортные грузы'!D:D,MATCH(A37,'Экспортные грузы'!A:A,0)),IF(K37="Терминальные операции",INDEX(Терминал!D:D,MATCH(A37,Терминал!A:A,0)),IF(K37="Документальное оформление ЖД грузов",INDEX('ЖД грузы'!D:D,MATCH(A37,'ЖД грузы'!A:A,0)),""))))),"")</f>
        <v>Систематизация приема ктк в экспорте под договоры контрагентов АСТ/Экспедитор</v>
      </c>
      <c r="E37" s="7" t="str">
        <f>IFERROR(IF(K37="Обработка судовых документов",INDEX('Судовые документы'!E:E,MATCH(A37,'Судовые документы'!A:A,0)),IF(K37="Оформление таможенных документов",INDEX('Таможенные документы'!E:E,MATCH(A37,'Таможенные документы'!A:A,0)),IF(K37="Оформление экспортных грузов",INDEX('Экспортные грузы'!E:E,MATCH(A37,'Экспортные грузы'!A:A,0)),IF(K37="Терминальные операции",INDEX(Терминал!E:E,MATCH(A37,Терминал!A:A,0)),IF(K37="Документальное оформление ЖД грузов",INDEX('ЖД грузы'!E:E,MATCH(A37,'ЖД грузы'!A:A,0)),""))))),"")</f>
        <v>ОПЭ</v>
      </c>
      <c r="F37" s="6" t="str">
        <f>IFERROR(IF(K37="Обработка судовых документов",INDEX('Судовые документы'!F:F,MATCH(A37,'Судовые документы'!A:A,0)),IF(K37="Оформление таможенных документов",INDEX('Таможенные документы'!F:F,MATCH(A37,'Таможенные документы'!A:A,0)),IF(K37="Оформление экспортных грузов",INDEX('Экспортные грузы'!F:F,MATCH(A37,'Экспортные грузы'!A:A,0)),IF(K37="Терминальные операции",INDEX(Терминал!F:F,MATCH(A37,Терминал!A:A,0)),IF(K37="Документальное оформление ЖД грузов",INDEX('ЖД грузы'!F:F,MATCH(A37,'ЖД грузы'!A:A,0)),""))))),"")</f>
        <v>ОПЭ</v>
      </c>
      <c r="G37" s="6" t="str">
        <f>IFERROR(IF(K37="Обработка судовых документов",INDEX('Судовые документы'!G:G,MATCH(A37,'Судовые документы'!A:A,0)),IF(K37="Оформление таможенных документов",INDEX('Таможенные документы'!G:G,MATCH(A37,'Таможенные документы'!A:A,0)),IF(K37="Оформление экспортных грузов",INDEX('Экспортные грузы'!G:G,MATCH(A37,'Экспортные грузы'!A:A,0)),IF(K37="Терминальные операции",INDEX(Терминал!G:G,MATCH(A37,Терминал!A:A,0)),IF(K37="Документальное оформление ЖД грузов",INDEX('ЖД грузы'!G:G,MATCH(A37,'ЖД грузы'!A:A,0)),""))))),"")</f>
        <v>Установлено</v>
      </c>
      <c r="H37" s="8" t="str">
        <f>IFERROR(IF(K37="Обработка судовых документов",INDEX('Судовые документы'!H:H,MATCH(A37,'Судовые документы'!A:A,0)),IF(K37="Оформление таможенных документов",INDEX('Таможенные документы'!H:H,MATCH(A37,'Таможенные документы'!A:A,0)),IF(K37="Оформление экспортных грузов",INDEX('Экспортные грузы'!H:H,MATCH(A37,'Экспортные грузы'!A:A,0)),IF(K37="Терминальные операции",INDEX(Терминал!H:H,MATCH(A37,Терминал!A:A,0)),IF(K37="Документальное оформление ЖД грузов",INDEX('ЖД грузы'!H:H,MATCH(A37,'ЖД грузы'!A:A,0)),""))))),"")</f>
        <v>7.4.9</v>
      </c>
      <c r="I37" s="9">
        <f>IFERROR(IF(K37="Обработка судовых документов",INDEX('Судовые документы'!I:I,MATCH(A37,'Судовые документы'!A:A,0)),IF(K37="Оформление таможенных документов",INDEX('Таможенные документы'!I:I,MATCH(A37,'Таможенные документы'!A:A,0)),IF(K37="Оформление экспортных грузов",INDEX('Экспортные грузы'!I:I,MATCH(A37,'Экспортные грузы'!A:A,0)),IF(K37="Терминальные операции",INDEX(Терминал!I:I,MATCH(A37,Терминал!A:A,0)),IF(K37="Документальное оформление ЖД грузов",INDEX('ЖД грузы'!I:I,MATCH(A37,'ЖД грузы'!A:A,0)),""))))),"")</f>
        <v>130</v>
      </c>
      <c r="J37" s="7" t="str">
        <f>IFERROR(IF(K37="Обработка судовых документов",INDEX('Судовые документы'!J:J,MATCH(A37,'Судовые документы'!A:A,0)),IF(K37="Оформление таможенных документов",INDEX('Таможенные документы'!J:J,MATCH(A37,'Таможенные документы'!A:A,0)),IF(K37="Оформление экспортных грузов",INDEX('Экспортные грузы'!J:J,MATCH(A37,'Экспортные грузы'!A:A,0)),IF(K37="Терминальные операции",INDEX(Терминал!J:J,MATCH(A37,Терминал!A:A,0)),IF(K37="Документальное оформление ЖД грузов",INDEX('ЖД грузы'!J:J,MATCH(A37,'ЖД грузы'!A:A,0)),""))))),"")</f>
        <v>Да</v>
      </c>
      <c r="K37" s="10" t="s">
        <v>22</v>
      </c>
      <c r="L37" s="11" t="str">
        <f>IFERROR(IF(K37="Обработка судовых документов",INDEX('Судовые документы'!L:L,MATCH(A37,'Судовые документы'!A:A,0)),IF(K37="Оформление таможенных документов",INDEX('Таможенные документы'!L:L,MATCH(A37,'Таможенные документы'!A:A,0)),IF(K37="Оформление экспортных грузов",INDEX('Экспортные грузы'!L:L,MATCH(A37,'Экспортные грузы'!A:A,0)),IF(K37="Терминальные операции",INDEX(Терминал!L:L,MATCH(A37,Терминал!A:A,0)),IF(K37="Документальное оформление ЖД грузов",INDEX('ЖД грузы'!L:L,MATCH(A37,'ЖД грузы'!A:A,0)),""))))),"")</f>
        <v>Средний</v>
      </c>
      <c r="M37" s="7">
        <f>IFERROR(IF(K37="Обработка судовых документов",INDEX('Судовые документы'!K:K,MATCH(A37,'Судовые документы'!A:A,0)),IF(K37="Оформление таможенных документов",INDEX('Таможенные документы'!K:K,MATCH(A37,'Таможенные документы'!A:A,0)),IF(K37="Оформление экспортных грузов",INDEX('Экспортные грузы'!K:K,MATCH(A37,'Экспортные грузы'!A:A,0)),IF(K37="Терминальные операции",INDEX(Терминал!K:K,MATCH(A37,Терминал!A:A,0)),IF(K37="Документальное оформление ЖД грузов",INDEX('ЖД грузы'!K:K,MATCH(A37,'ЖД грузы'!A:A,0)),""))))),"")</f>
        <v>0</v>
      </c>
    </row>
    <row r="38" spans="1:13" ht="39.75" customHeight="1" x14ac:dyDescent="0.3">
      <c r="A38" s="12">
        <f>Терминал!A19</f>
        <v>31</v>
      </c>
      <c r="B38" s="13" t="str">
        <f>Терминал!B19</f>
        <v>4SC-1-RQ-CR-804 #3313235</v>
      </c>
      <c r="C38" s="14" t="str">
        <f>Терминал!C19</f>
        <v>Вид услуг в Договорах</v>
      </c>
      <c r="D38" s="15" t="str">
        <f>IFERROR(IF(K38="Обработка судовых документов",INDEX('Судовые документы'!D:D,MATCH(A38,'Судовые документы'!A:A,0)),IF(K38="Оформление таможенных документов",INDEX('Таможенные документы'!D:D,MATCH(A38,'Таможенные документы'!A:A,0)),IF(K38="Оформление экспортных грузов",INDEX('Экспортные грузы'!D:D,MATCH(A38,'Экспортные грузы'!A:A,0)),IF(K38="Терминальные операции",INDEX(Терминал!D:D,MATCH(A38,Терминал!A:A,0)),IF(K38="Документальное оформление ЖД грузов",INDEX('ЖД грузы'!D:D,MATCH(A38,'ЖД грузы'!A:A,0)),""))))),"")</f>
        <v>Контроль выставления услуг под клиентские договоры (DEXP)</v>
      </c>
      <c r="E38" s="16" t="str">
        <f>IFERROR(IF(K38="Обработка судовых документов",INDEX('Судовые документы'!E:E,MATCH(A38,'Судовые документы'!A:A,0)),IF(K38="Оформление таможенных документов",INDEX('Таможенные документы'!E:E,MATCH(A38,'Таможенные документы'!A:A,0)),IF(K38="Оформление экспортных грузов",INDEX('Экспортные грузы'!E:E,MATCH(A38,'Экспортные грузы'!A:A,0)),IF(K38="Терминальные операции",INDEX(Терминал!E:E,MATCH(A38,Терминал!A:A,0)),IF(K38="Документальное оформление ЖД грузов",INDEX('ЖД грузы'!E:E,MATCH(A38,'ЖД грузы'!A:A,0)),""))))),"")</f>
        <v>2026</v>
      </c>
      <c r="F38" s="15" t="str">
        <f>IFERROR(IF(K38="Обработка судовых документов",INDEX('Судовые документы'!F:F,MATCH(A38,'Судовые документы'!A:A,0)),IF(K38="Оформление таможенных документов",INDEX('Таможенные документы'!F:F,MATCH(A38,'Таможенные документы'!A:A,0)),IF(K38="Оформление экспортных грузов",INDEX('Экспортные грузы'!F:F,MATCH(A38,'Экспортные грузы'!A:A,0)),IF(K38="Терминальные операции",INDEX(Терминал!F:F,MATCH(A38,Терминал!A:A,0)),IF(K38="Документальное оформление ЖД грузов",INDEX('ЖД грузы'!F:F,MATCH(A38,'ЖД грузы'!A:A,0)),""))))),"")</f>
        <v>В работе</v>
      </c>
      <c r="G38" s="15" t="str">
        <f>IFERROR(IF(K38="Обработка судовых документов",INDEX('Судовые документы'!G:G,MATCH(A38,'Судовые документы'!A:A,0)),IF(K38="Оформление таможенных документов",INDEX('Таможенные документы'!G:G,MATCH(A38,'Таможенные документы'!A:A,0)),IF(K38="Оформление экспортных грузов",INDEX('Экспортные грузы'!G:G,MATCH(A38,'Экспортные грузы'!A:A,0)),IF(K38="Терминальные операции",INDEX(Терминал!G:G,MATCH(A38,Терминал!A:A,0)),IF(K38="Документальное оформление ЖД грузов",INDEX('ЖД грузы'!G:G,MATCH(A38,'ЖД грузы'!A:A,0)),""))))),"")</f>
        <v>Аналитика</v>
      </c>
      <c r="H38" s="17" t="str">
        <f>IFERROR(IF(K38="Обработка судовых документов",INDEX('Судовые документы'!H:H,MATCH(A38,'Судовые документы'!A:A,0)),IF(K38="Оформление таможенных документов",INDEX('Таможенные документы'!H:H,MATCH(A38,'Таможенные документы'!A:A,0)),IF(K38="Оформление экспортных грузов",INDEX('Экспортные грузы'!H:H,MATCH(A38,'Экспортные грузы'!A:A,0)),IF(K38="Терминальные операции",INDEX(Терминал!H:H,MATCH(A38,Терминал!A:A,0)),IF(K38="Документальное оформление ЖД грузов",INDEX('ЖД грузы'!H:H,MATCH(A38,'ЖД грузы'!A:A,0)),""))))),"")</f>
        <v>7.4.11</v>
      </c>
      <c r="I38" s="18">
        <f>IFERROR(IF(K38="Обработка судовых документов",INDEX('Судовые документы'!I:I,MATCH(A38,'Судовые документы'!A:A,0)),IF(K38="Оформление таможенных документов",INDEX('Таможенные документы'!I:I,MATCH(A38,'Таможенные документы'!A:A,0)),IF(K38="Оформление экспортных грузов",INDEX('Экспортные грузы'!I:I,MATCH(A38,'Экспортные грузы'!A:A,0)),IF(K38="Терминальные операции",INDEX(Терминал!I:I,MATCH(A38,Терминал!A:A,0)),IF(K38="Документальное оформление ЖД грузов",INDEX('ЖД грузы'!I:I,MATCH(A38,'ЖД грузы'!A:A,0)),""))))),"")</f>
        <v>0</v>
      </c>
      <c r="J38" s="16" t="str">
        <f>IFERROR(IF(K38="Обработка судовых документов",INDEX('Судовые документы'!J:J,MATCH(A38,'Судовые документы'!A:A,0)),IF(K38="Оформление таможенных документов",INDEX('Таможенные документы'!J:J,MATCH(A38,'Таможенные документы'!A:A,0)),IF(K38="Оформление экспортных грузов",INDEX('Экспортные грузы'!J:J,MATCH(A38,'Экспортные грузы'!A:A,0)),IF(K38="Терминальные операции",INDEX(Терминал!J:J,MATCH(A38,Терминал!A:A,0)),IF(K38="Документальное оформление ЖД грузов",INDEX('ЖД грузы'!J:J,MATCH(A38,'ЖД грузы'!A:A,0)),""))))),"")</f>
        <v>Нет</v>
      </c>
      <c r="K38" s="19" t="s">
        <v>22</v>
      </c>
      <c r="L38" s="20" t="str">
        <f>IFERROR(IF(K38="Обработка судовых документов",INDEX('Судовые документы'!L:L,MATCH(A38,'Судовые документы'!A:A,0)),IF(K38="Оформление таможенных документов",INDEX('Таможенные документы'!L:L,MATCH(A38,'Таможенные документы'!A:A,0)),IF(K38="Оформление экспортных грузов",INDEX('Экспортные грузы'!L:L,MATCH(A38,'Экспортные грузы'!A:A,0)),IF(K38="Терминальные операции",INDEX(Терминал!L:L,MATCH(A38,Терминал!A:A,0)),IF(K38="Документальное оформление ЖД грузов",INDEX('ЖД грузы'!L:L,MATCH(A38,'ЖД грузы'!A:A,0)),""))))),"")</f>
        <v>Средний</v>
      </c>
      <c r="M38" s="16">
        <f>IFERROR(IF(K38="Обработка судовых документов",INDEX('Судовые документы'!K:K,MATCH(A38,'Судовые документы'!A:A,0)),IF(K38="Оформление таможенных документов",INDEX('Таможенные документы'!K:K,MATCH(A38,'Таможенные документы'!A:A,0)),IF(K38="Оформление экспортных грузов",INDEX('Экспортные грузы'!K:K,MATCH(A38,'Экспортные грузы'!A:A,0)),IF(K38="Терминальные операции",INDEX(Терминал!K:K,MATCH(A38,Терминал!A:A,0)),IF(K38="Документальное оформление ЖД грузов",INDEX('ЖД грузы'!K:K,MATCH(A38,'ЖД грузы'!A:A,0)),""))))),"")</f>
        <v>0</v>
      </c>
    </row>
    <row r="39" spans="1:13" ht="39.75" customHeight="1" x14ac:dyDescent="0.3">
      <c r="A39" s="3">
        <f>Терминал!A20</f>
        <v>32</v>
      </c>
      <c r="B39" s="4" t="str">
        <f>Терминал!B20</f>
        <v>4SC-RQ-CR-812 #3333318</v>
      </c>
      <c r="C39" s="5" t="str">
        <f>Терминал!C20</f>
        <v>Функционал удаления АВ на WEB портале</v>
      </c>
      <c r="D39" s="6" t="str">
        <f>IFERROR(IF(K39="Обработка судовых документов",INDEX('Судовые документы'!D:D,MATCH(A39,'Судовые документы'!A:A,0)),IF(K39="Оформление таможенных документов",INDEX('Таможенные документы'!D:D,MATCH(A39,'Таможенные документы'!A:A,0)),IF(K39="Оформление экспортных грузов",INDEX('Экспортные грузы'!D:D,MATCH(A39,'Экспортные грузы'!A:A,0)),IF(K39="Терминальные операции",INDEX(Терминал!D:D,MATCH(A39,Терминал!A:A,0)),IF(K39="Документальное оформление ЖД грузов",INDEX('ЖД грузы'!D:D,MATCH(A39,'ЖД грузы'!A:A,0)),""))))),"")</f>
        <v>Удаление автовизита с проверкой таймслота через ЛКК</v>
      </c>
      <c r="E39" s="7" t="str">
        <f>IFERROR(IF(K39="Обработка судовых документов",INDEX('Судовые документы'!E:E,MATCH(A39,'Судовые документы'!A:A,0)),IF(K39="Оформление таможенных документов",INDEX('Таможенные документы'!E:E,MATCH(A39,'Таможенные документы'!A:A,0)),IF(K39="Оформление экспортных грузов",INDEX('Экспортные грузы'!E:E,MATCH(A39,'Экспортные грузы'!A:A,0)),IF(K39="Терминальные операции",INDEX(Терминал!E:E,MATCH(A39,Терминал!A:A,0)),IF(K39="Документальное оформление ЖД грузов",INDEX('ЖД грузы'!E:E,MATCH(A39,'ЖД грузы'!A:A,0)),""))))),"")</f>
        <v>2026</v>
      </c>
      <c r="F39" s="6" t="str">
        <f>IFERROR(IF(K39="Обработка судовых документов",INDEX('Судовые документы'!F:F,MATCH(A39,'Судовые документы'!A:A,0)),IF(K39="Оформление таможенных документов",INDEX('Таможенные документы'!F:F,MATCH(A39,'Таможенные документы'!A:A,0)),IF(K39="Оформление экспортных грузов",INDEX('Экспортные грузы'!F:F,MATCH(A39,'Экспортные грузы'!A:A,0)),IF(K39="Терминальные операции",INDEX(Терминал!F:F,MATCH(A39,Терминал!A:A,0)),IF(K39="Документальное оформление ЖД грузов",INDEX('ЖД грузы'!F:F,MATCH(A39,'ЖД грузы'!A:A,0)),""))))),"")</f>
        <v>В работе</v>
      </c>
      <c r="G39" s="6" t="str">
        <f>IFERROR(IF(K39="Обработка судовых документов",INDEX('Судовые документы'!G:G,MATCH(A39,'Судовые документы'!A:A,0)),IF(K39="Оформление таможенных документов",INDEX('Таможенные документы'!G:G,MATCH(A39,'Таможенные документы'!A:A,0)),IF(K39="Оформление экспортных грузов",INDEX('Экспортные грузы'!G:G,MATCH(A39,'Экспортные грузы'!A:A,0)),IF(K39="Терминальные операции",INDEX(Терминал!G:G,MATCH(A39,Терминал!A:A,0)),IF(K39="Документальное оформление ЖД грузов",INDEX('ЖД грузы'!G:G,MATCH(A39,'ЖД грузы'!A:A,0)),""))))),"")</f>
        <v>Тестирование</v>
      </c>
      <c r="H39" s="8" t="str">
        <f>IFERROR(IF(K39="Обработка судовых документов",INDEX('Судовые документы'!H:H,MATCH(A39,'Судовые документы'!A:A,0)),IF(K39="Оформление таможенных документов",INDEX('Таможенные документы'!H:H,MATCH(A39,'Таможенные документы'!A:A,0)),IF(K39="Оформление экспортных грузов",INDEX('Экспортные грузы'!H:H,MATCH(A39,'Экспортные грузы'!A:A,0)),IF(K39="Терминальные операции",INDEX(Терминал!H:H,MATCH(A39,Терминал!A:A,0)),IF(K39="Документальное оформление ЖД грузов",INDEX('ЖД грузы'!H:H,MATCH(A39,'ЖД грузы'!A:A,0)),""))))),"")</f>
        <v>7.4.10</v>
      </c>
      <c r="I39" s="9">
        <f>IFERROR(IF(K39="Обработка судовых документов",INDEX('Судовые документы'!I:I,MATCH(A39,'Судовые документы'!A:A,0)),IF(K39="Оформление таможенных документов",INDEX('Таможенные документы'!I:I,MATCH(A39,'Таможенные документы'!A:A,0)),IF(K39="Оформление экспортных грузов",INDEX('Экспортные грузы'!I:I,MATCH(A39,'Экспортные грузы'!A:A,0)),IF(K39="Терминальные операции",INDEX(Терминал!I:I,MATCH(A39,Терминал!A:A,0)),IF(K39="Документальное оформление ЖД грузов",INDEX('ЖД грузы'!I:I,MATCH(A39,'ЖД грузы'!A:A,0)),""))))),"")</f>
        <v>110</v>
      </c>
      <c r="J39" s="7" t="str">
        <f>IFERROR(IF(K39="Обработка судовых документов",INDEX('Судовые документы'!J:J,MATCH(A39,'Судовые документы'!A:A,0)),IF(K39="Оформление таможенных документов",INDEX('Таможенные документы'!J:J,MATCH(A39,'Таможенные документы'!A:A,0)),IF(K39="Оформление экспортных грузов",INDEX('Экспортные грузы'!J:J,MATCH(A39,'Экспортные грузы'!A:A,0)),IF(K39="Терминальные операции",INDEX(Терминал!J:J,MATCH(A39,Терминал!A:A,0)),IF(K39="Документальное оформление ЖД грузов",INDEX('ЖД грузы'!J:J,MATCH(A39,'ЖД грузы'!A:A,0)),""))))),"")</f>
        <v>Да</v>
      </c>
      <c r="K39" s="10" t="s">
        <v>22</v>
      </c>
      <c r="L39" s="11" t="str">
        <f>IFERROR(IF(K39="Обработка судовых документов",INDEX('Судовые документы'!L:L,MATCH(A39,'Судовые документы'!A:A,0)),IF(K39="Оформление таможенных документов",INDEX('Таможенные документы'!L:L,MATCH(A39,'Таможенные документы'!A:A,0)),IF(K39="Оформление экспортных грузов",INDEX('Экспортные грузы'!L:L,MATCH(A39,'Экспортные грузы'!A:A,0)),IF(K39="Терминальные операции",INDEX(Терминал!L:L,MATCH(A39,Терминал!A:A,0)),IF(K39="Документальное оформление ЖД грузов",INDEX('ЖД грузы'!L:L,MATCH(A39,'ЖД грузы'!A:A,0)),""))))),"")</f>
        <v>Средний</v>
      </c>
      <c r="M39" s="7">
        <f>IFERROR(IF(K39="Обработка судовых документов",INDEX('Судовые документы'!K:K,MATCH(A39,'Судовые документы'!A:A,0)),IF(K39="Оформление таможенных документов",INDEX('Таможенные документы'!K:K,MATCH(A39,'Таможенные документы'!A:A,0)),IF(K39="Оформление экспортных грузов",INDEX('Экспортные грузы'!K:K,MATCH(A39,'Экспортные грузы'!A:A,0)),IF(K39="Терминальные операции",INDEX(Терминал!K:K,MATCH(A39,Терминал!A:A,0)),IF(K39="Документальное оформление ЖД грузов",INDEX('ЖД грузы'!K:K,MATCH(A39,'ЖД грузы'!A:A,0)),""))))),"")</f>
        <v>0</v>
      </c>
    </row>
    <row r="40" spans="1:13" ht="39.75" customHeight="1" x14ac:dyDescent="0.3">
      <c r="A40" s="12">
        <f>Терминал!A21</f>
        <v>33</v>
      </c>
      <c r="B40" s="13" t="str">
        <f>Терминал!B21</f>
        <v>4SC-1-RQ-CR-373 #2400022</v>
      </c>
      <c r="C40" s="14" t="str">
        <f>Терминал!C21</f>
        <v>Сообщение при создании ЗАВ о незавершённых операциях</v>
      </c>
      <c r="D40" s="15" t="str">
        <f>IFERROR(IF(K40="Обработка судовых документов",INDEX('Судовые документы'!D:D,MATCH(A40,'Судовые документы'!A:A,0)),IF(K40="Оформление таможенных документов",INDEX('Таможенные документы'!D:D,MATCH(A40,'Таможенные документы'!A:A,0)),IF(K40="Оформление экспортных грузов",INDEX('Экспортные грузы'!D:D,MATCH(A40,'Экспортные грузы'!A:A,0)),IF(K40="Терминальные операции",INDEX(Терминал!D:D,MATCH(A40,Терминал!A:A,0)),IF(K40="Документальное оформление ЖД грузов",INDEX('ЖД грузы'!D:D,MATCH(A40,'ЖД грузы'!A:A,0)),""))))),"")</f>
        <v>Предупреждение при создании ЗАВ если есть незавершённые операции по импортному контейнеру</v>
      </c>
      <c r="E40" s="16" t="str">
        <f>IFERROR(IF(K40="Обработка судовых документов",INDEX('Судовые документы'!E:E,MATCH(A40,'Судовые документы'!A:A,0)),IF(K40="Оформление таможенных документов",INDEX('Таможенные документы'!E:E,MATCH(A40,'Таможенные документы'!A:A,0)),IF(K40="Оформление экспортных грузов",INDEX('Экспортные грузы'!E:E,MATCH(A40,'Экспортные грузы'!A:A,0)),IF(K40="Терминальные операции",INDEX(Терминал!E:E,MATCH(A40,Терминал!A:A,0)),IF(K40="Документальное оформление ЖД грузов",INDEX('ЖД грузы'!E:E,MATCH(A40,'ЖД грузы'!A:A,0)),""))))),"")</f>
        <v>2026</v>
      </c>
      <c r="F40" s="15" t="str">
        <f>IFERROR(IF(K40="Обработка судовых документов",INDEX('Судовые документы'!F:F,MATCH(A40,'Судовые документы'!A:A,0)),IF(K40="Оформление таможенных документов",INDEX('Таможенные документы'!F:F,MATCH(A40,'Таможенные документы'!A:A,0)),IF(K40="Оформление экспортных грузов",INDEX('Экспортные грузы'!F:F,MATCH(A40,'Экспортные грузы'!A:A,0)),IF(K40="Терминальные операции",INDEX(Терминал!F:F,MATCH(A40,Терминал!A:A,0)),IF(K40="Документальное оформление ЖД грузов",INDEX('ЖД грузы'!F:F,MATCH(A40,'ЖД грузы'!A:A,0)),""))))),"")</f>
        <v>В работе</v>
      </c>
      <c r="G40" s="15" t="str">
        <f>IFERROR(IF(K40="Обработка судовых документов",INDEX('Судовые документы'!G:G,MATCH(A40,'Судовые документы'!A:A,0)),IF(K40="Оформление таможенных документов",INDEX('Таможенные документы'!G:G,MATCH(A40,'Таможенные документы'!A:A,0)),IF(K40="Оформление экспортных грузов",INDEX('Экспортные грузы'!G:G,MATCH(A40,'Экспортные грузы'!A:A,0)),IF(K40="Терминальные операции",INDEX(Терминал!G:G,MATCH(A40,Терминал!A:A,0)),IF(K40="Документальное оформление ЖД грузов",INDEX('ЖД грузы'!G:G,MATCH(A40,'ЖД грузы'!A:A,0)),""))))),"")</f>
        <v>Оценка</v>
      </c>
      <c r="H40" s="17" t="str">
        <f>IFERROR(IF(K40="Обработка судовых документов",INDEX('Судовые документы'!H:H,MATCH(A40,'Судовые документы'!A:A,0)),IF(K40="Оформление таможенных документов",INDEX('Таможенные документы'!H:H,MATCH(A40,'Таможенные документы'!A:A,0)),IF(K40="Оформление экспортных грузов",INDEX('Экспортные грузы'!H:H,MATCH(A40,'Экспортные грузы'!A:A,0)),IF(K40="Терминальные операции",INDEX(Терминал!H:H,MATCH(A40,Терминал!A:A,0)),IF(K40="Документальное оформление ЖД грузов",INDEX('ЖД грузы'!H:H,MATCH(A40,'ЖД грузы'!A:A,0)),""))))),"")</f>
        <v>7.4.11</v>
      </c>
      <c r="I40" s="18">
        <f>IFERROR(IF(K40="Обработка судовых документов",INDEX('Судовые документы'!I:I,MATCH(A40,'Судовые документы'!A:A,0)),IF(K40="Оформление таможенных документов",INDEX('Таможенные документы'!I:I,MATCH(A40,'Таможенные документы'!A:A,0)),IF(K40="Оформление экспортных грузов",INDEX('Экспортные грузы'!I:I,MATCH(A40,'Экспортные грузы'!A:A,0)),IF(K40="Терминальные операции",INDEX(Терминал!I:I,MATCH(A40,Терминал!A:A,0)),IF(K40="Документальное оформление ЖД грузов",INDEX('ЖД грузы'!I:I,MATCH(A40,'ЖД грузы'!A:A,0)),""))))),"")</f>
        <v>254</v>
      </c>
      <c r="J40" s="16" t="str">
        <f>IFERROR(IF(K40="Обработка судовых документов",INDEX('Судовые документы'!J:J,MATCH(A40,'Судовые документы'!A:A,0)),IF(K40="Оформление таможенных документов",INDEX('Таможенные документы'!J:J,MATCH(A40,'Таможенные документы'!A:A,0)),IF(K40="Оформление экспортных грузов",INDEX('Экспортные грузы'!J:J,MATCH(A40,'Экспортные грузы'!A:A,0)),IF(K40="Терминальные операции",INDEX(Терминал!J:J,MATCH(A40,Терминал!A:A,0)),IF(K40="Документальное оформление ЖД грузов",INDEX('ЖД грузы'!J:J,MATCH(A40,'ЖД грузы'!A:A,0)),""))))),"")</f>
        <v>Да</v>
      </c>
      <c r="K40" s="19" t="s">
        <v>22</v>
      </c>
      <c r="L40" s="20" t="str">
        <f>IFERROR(IF(K40="Обработка судовых документов",INDEX('Судовые документы'!L:L,MATCH(A40,'Судовые документы'!A:A,0)),IF(K40="Оформление таможенных документов",INDEX('Таможенные документы'!L:L,MATCH(A40,'Таможенные документы'!A:A,0)),IF(K40="Оформление экспортных грузов",INDEX('Экспортные грузы'!L:L,MATCH(A40,'Экспортные грузы'!A:A,0)),IF(K40="Терминальные операции",INDEX(Терминал!L:L,MATCH(A40,Терминал!A:A,0)),IF(K40="Документальное оформление ЖД грузов",INDEX('ЖД грузы'!L:L,MATCH(A40,'ЖД грузы'!A:A,0)),""))))),"")</f>
        <v>Средний</v>
      </c>
      <c r="M40" s="16">
        <f>IFERROR(IF(K40="Обработка судовых документов",INDEX('Судовые документы'!K:K,MATCH(A40,'Судовые документы'!A:A,0)),IF(K40="Оформление таможенных документов",INDEX('Таможенные документы'!K:K,MATCH(A40,'Таможенные документы'!A:A,0)),IF(K40="Оформление экспортных грузов",INDEX('Экспортные грузы'!K:K,MATCH(A40,'Экспортные грузы'!A:A,0)),IF(K40="Терминальные операции",INDEX(Терминал!K:K,MATCH(A40,Терминал!A:A,0)),IF(K40="Документальное оформление ЖД грузов",INDEX('ЖД грузы'!K:K,MATCH(A40,'ЖД грузы'!A:A,0)),""))))),"")</f>
        <v>0</v>
      </c>
    </row>
    <row r="41" spans="1:13" ht="21.75" customHeight="1" x14ac:dyDescent="0.3">
      <c r="A41" s="130" t="s">
        <v>23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</row>
    <row r="42" spans="1:13" ht="39.75" customHeight="1" x14ac:dyDescent="0.3">
      <c r="A42" s="3">
        <f>'ЖД грузы'!A6</f>
        <v>34</v>
      </c>
      <c r="B42" s="4" t="str">
        <f>'ЖД грузы'!B6</f>
        <v>4SC-RQ-CR-908 #3828162</v>
      </c>
      <c r="C42" s="5" t="str">
        <f>'ЖД грузы'!C6</f>
        <v>Оформление разнарядки на ж/д</v>
      </c>
      <c r="D42" s="6" t="str">
        <f>IFERROR(IF(K42="Обработка судовых документов",INDEX('Судовые документы'!D:D,MATCH(A42,'Судовые документы'!A:A,0)),IF(K42="Оформление таможенных документов",INDEX('Таможенные документы'!D:D,MATCH(A42,'Таможенные документы'!A:A,0)),IF(K42="Оформление экспортных грузов",INDEX('Экспортные грузы'!D:D,MATCH(A42,'Экспортные грузы'!A:A,0)),IF(K42="Терминальные операции",INDEX(Терминал!D:D,MATCH(A42,Терминал!A:A,0)),IF(K42="Документальное оформление ЖД грузов",INDEX('ЖД грузы'!D:D,MATCH(A42,'ЖД грузы'!A:A,0)),""))))),"")</f>
        <v>Реализация разнарядки на работы по обработке ЖД состава</v>
      </c>
      <c r="E42" s="7" t="str">
        <f>IFERROR(IF(K42="Обработка судовых документов",INDEX('Судовые документы'!E:E,MATCH(A42,'Судовые документы'!A:A,0)),IF(K42="Оформление таможенных документов",INDEX('Таможенные документы'!E:E,MATCH(A42,'Таможенные документы'!A:A,0)),IF(K42="Оформление экспортных грузов",INDEX('Экспортные грузы'!E:E,MATCH(A42,'Экспортные грузы'!A:A,0)),IF(K42="Терминальные операции",INDEX(Терминал!E:E,MATCH(A42,Терминал!A:A,0)),IF(K42="Документальное оформление ЖД грузов",INDEX('ЖД грузы'!E:E,MATCH(A42,'ЖД грузы'!A:A,0)),""))))),"")</f>
        <v>выполнено</v>
      </c>
      <c r="F42" s="6" t="str">
        <f>IFERROR(IF(K42="Обработка судовых документов",INDEX('Судовые документы'!F:F,MATCH(A42,'Судовые документы'!A:A,0)),IF(K42="Оформление таможенных документов",INDEX('Таможенные документы'!F:F,MATCH(A42,'Таможенные документы'!A:A,0)),IF(K42="Оформление экспортных грузов",INDEX('Экспортные грузы'!F:F,MATCH(A42,'Экспортные грузы'!A:A,0)),IF(K42="Терминальные операции",INDEX(Терминал!F:F,MATCH(A42,Терминал!A:A,0)),IF(K42="Документальное оформление ЖД грузов",INDEX('ЖД грузы'!F:F,MATCH(A42,'ЖД грузы'!A:A,0)),""))))),"")</f>
        <v>Выполнено</v>
      </c>
      <c r="G42" s="6" t="str">
        <f>IFERROR(IF(K42="Обработка судовых документов",INDEX('Судовые документы'!G:G,MATCH(A42,'Судовые документы'!A:A,0)),IF(K42="Оформление таможенных документов",INDEX('Таможенные документы'!G:G,MATCH(A42,'Таможенные документы'!A:A,0)),IF(K42="Оформление экспортных грузов",INDEX('Экспортные грузы'!G:G,MATCH(A42,'Экспортные грузы'!A:A,0)),IF(K42="Терминальные операции",INDEX(Терминал!G:G,MATCH(A42,Терминал!A:A,0)),IF(K42="Документальное оформление ЖД грузов",INDEX('ЖД грузы'!G:G,MATCH(A42,'ЖД грузы'!A:A,0)),""))))),"")</f>
        <v>Установлено</v>
      </c>
      <c r="H42" s="8" t="str">
        <f>IFERROR(IF(K42="Обработка судовых документов",INDEX('Судовые документы'!H:H,MATCH(A42,'Судовые документы'!A:A,0)),IF(K42="Оформление таможенных документов",INDEX('Таможенные документы'!H:H,MATCH(A42,'Таможенные документы'!A:A,0)),IF(K42="Оформление экспортных грузов",INDEX('Экспортные грузы'!H:H,MATCH(A42,'Экспортные грузы'!A:A,0)),IF(K42="Терминальные операции",INDEX(Терминал!H:H,MATCH(A42,Терминал!A:A,0)),IF(K42="Документальное оформление ЖД грузов",INDEX('ЖД грузы'!H:H,MATCH(A42,'ЖД грузы'!A:A,0)),""))))),"")</f>
        <v>7.4.8</v>
      </c>
      <c r="I42" s="9">
        <f>IFERROR(IF(K42="Обработка судовых документов",INDEX('Судовые документы'!I:I,MATCH(A42,'Судовые документы'!A:A,0)),IF(K42="Оформление таможенных документов",INDEX('Таможенные документы'!I:I,MATCH(A42,'Таможенные документы'!A:A,0)),IF(K42="Оформление экспортных грузов",INDEX('Экспортные грузы'!I:I,MATCH(A42,'Экспортные грузы'!A:A,0)),IF(K42="Терминальные операции",INDEX(Терминал!I:I,MATCH(A42,Терминал!A:A,0)),IF(K42="Документальное оформление ЖД грузов",INDEX('ЖД грузы'!I:I,MATCH(A42,'ЖД грузы'!A:A,0)),""))))),"")</f>
        <v>0</v>
      </c>
      <c r="J42" s="7" t="str">
        <f>IFERROR(IF(K42="Обработка судовых документов",INDEX('Судовые документы'!J:J,MATCH(A42,'Судовые документы'!A:A,0)),IF(K42="Оформление таможенных документов",INDEX('Таможенные документы'!J:J,MATCH(A42,'Таможенные документы'!A:A,0)),IF(K42="Оформление экспортных грузов",INDEX('Экспортные грузы'!J:J,MATCH(A42,'Экспортные грузы'!A:A,0)),IF(K42="Терминальные операции",INDEX(Терминал!J:J,MATCH(A42,Терминал!A:A,0)),IF(K42="Документальное оформление ЖД грузов",INDEX('ЖД грузы'!J:J,MATCH(A42,'ЖД грузы'!A:A,0)),""))))),"")</f>
        <v>Да</v>
      </c>
      <c r="K42" s="10" t="s">
        <v>24</v>
      </c>
      <c r="L42" s="11" t="str">
        <f>IFERROR(IF(K42="Обработка судовых документов",INDEX('Судовые документы'!L:L,MATCH(A42,'Судовые документы'!A:A,0)),IF(K42="Оформление таможенных документов",INDEX('Таможенные документы'!L:L,MATCH(A42,'Таможенные документы'!A:A,0)),IF(K42="Оформление экспортных грузов",INDEX('Экспортные грузы'!L:L,MATCH(A42,'Экспортные грузы'!A:A,0)),IF(K42="Терминальные операции",INDEX(Терминал!L:L,MATCH(A42,Терминал!A:A,0)),IF(K42="Документальное оформление ЖД грузов",INDEX('ЖД грузы'!L:L,MATCH(A42,'ЖД грузы'!A:A,0)),""))))),"")</f>
        <v>Средний</v>
      </c>
      <c r="M42" s="7">
        <f>IFERROR(IF(K42="Обработка судовых документов",INDEX('Судовые документы'!K:K,MATCH(A42,'Судовые документы'!A:A,0)),IF(K42="Оформление таможенных документов",INDEX('Таможенные документы'!K:K,MATCH(A42,'Таможенные документы'!A:A,0)),IF(K42="Оформление экспортных грузов",INDEX('Экспортные грузы'!K:K,MATCH(A42,'Экспортные грузы'!A:A,0)),IF(K42="Терминальные операции",INDEX(Терминал!K:K,MATCH(A42,Терминал!A:A,0)),IF(K42="Документальное оформление ЖД грузов",INDEX('ЖД грузы'!K:K,MATCH(A42,'ЖД грузы'!A:A,0)),""))))),"")</f>
        <v>0</v>
      </c>
    </row>
    <row r="43" spans="1:13" ht="39.75" customHeight="1" x14ac:dyDescent="0.3">
      <c r="A43" s="12">
        <f>'ЖД грузы'!A7</f>
        <v>35</v>
      </c>
      <c r="B43" s="13" t="str">
        <f>'ЖД грузы'!B7</f>
        <v>4SC-1-RQ-CR-495 #2591758</v>
      </c>
      <c r="C43" s="14" t="str">
        <f>'ЖД грузы'!C7</f>
        <v>Создание ЖД накладных / интеграция с ЭТРАН</v>
      </c>
      <c r="D43" s="15" t="str">
        <f>IFERROR(IF(K43="Обработка судовых документов",INDEX('Судовые документы'!D:D,MATCH(A43,'Судовые документы'!A:A,0)),IF(K43="Оформление таможенных документов",INDEX('Таможенные документы'!D:D,MATCH(A43,'Таможенные документы'!A:A,0)),IF(K43="Оформление экспортных грузов",INDEX('Экспортные грузы'!D:D,MATCH(A43,'Экспортные грузы'!A:A,0)),IF(K43="Терминальные операции",INDEX(Терминал!D:D,MATCH(A43,Терминал!A:A,0)),IF(K43="Документальное оформление ЖД грузов",INDEX('ЖД грузы'!D:D,MATCH(A43,'ЖД грузы'!A:A,0)),""))))),"")</f>
        <v>Автоматическое формирование ЖД накладной с возможностью корректировки в ЛКК КТСП</v>
      </c>
      <c r="E43" s="16" t="str">
        <f>IFERROR(IF(K43="Обработка судовых документов",INDEX('Судовые документы'!E:E,MATCH(A43,'Судовые документы'!A:A,0)),IF(K43="Оформление таможенных документов",INDEX('Таможенные документы'!E:E,MATCH(A43,'Таможенные документы'!A:A,0)),IF(K43="Оформление экспортных грузов",INDEX('Экспортные грузы'!E:E,MATCH(A43,'Экспортные грузы'!A:A,0)),IF(K43="Терминальные операции",INDEX(Терминал!E:E,MATCH(A43,Терминал!A:A,0)),IF(K43="Документальное оформление ЖД грузов",INDEX('ЖД грузы'!E:E,MATCH(A43,'ЖД грузы'!A:A,0)),""))))),"")</f>
        <v>ОПЭ (нояб. 2026)</v>
      </c>
      <c r="F43" s="15" t="str">
        <f>IFERROR(IF(K43="Обработка судовых документов",INDEX('Судовые документы'!F:F,MATCH(A43,'Судовые документы'!A:A,0)),IF(K43="Оформление таможенных документов",INDEX('Таможенные документы'!F:F,MATCH(A43,'Таможенные документы'!A:A,0)),IF(K43="Оформление экспортных грузов",INDEX('Экспортные грузы'!F:F,MATCH(A43,'Экспортные грузы'!A:A,0)),IF(K43="Терминальные операции",INDEX(Терминал!F:F,MATCH(A43,Терминал!A:A,0)),IF(K43="Документальное оформление ЖД грузов",INDEX('ЖД грузы'!F:F,MATCH(A43,'ЖД грузы'!A:A,0)),""))))),"")</f>
        <v>В работе</v>
      </c>
      <c r="G43" s="15" t="str">
        <f>IFERROR(IF(K43="Обработка судовых документов",INDEX('Судовые документы'!G:G,MATCH(A43,'Судовые документы'!A:A,0)),IF(K43="Оформление таможенных документов",INDEX('Таможенные документы'!G:G,MATCH(A43,'Таможенные документы'!A:A,0)),IF(K43="Оформление экспортных грузов",INDEX('Экспортные грузы'!G:G,MATCH(A43,'Экспортные грузы'!A:A,0)),IF(K43="Терминальные операции",INDEX(Терминал!G:G,MATCH(A43,Терминал!A:A,0)),IF(K43="Документальное оформление ЖД грузов",INDEX('ЖД грузы'!G:G,MATCH(A43,'ЖД грузы'!A:A,0)),""))))),"")</f>
        <v>Аналитика</v>
      </c>
      <c r="H43" s="17" t="str">
        <f>IFERROR(IF(K43="Обработка судовых документов",INDEX('Судовые документы'!H:H,MATCH(A43,'Судовые документы'!A:A,0)),IF(K43="Оформление таможенных документов",INDEX('Таможенные документы'!H:H,MATCH(A43,'Таможенные документы'!A:A,0)),IF(K43="Оформление экспортных грузов",INDEX('Экспортные грузы'!H:H,MATCH(A43,'Экспортные грузы'!A:A,0)),IF(K43="Терминальные операции",INDEX(Терминал!H:H,MATCH(A43,Терминал!A:A,0)),IF(K43="Документальное оформление ЖД грузов",INDEX('ЖД грузы'!H:H,MATCH(A43,'ЖД грузы'!A:A,0)),""))))),"")</f>
        <v>7.4.11</v>
      </c>
      <c r="I43" s="18">
        <f>IFERROR(IF(K43="Обработка судовых документов",INDEX('Судовые документы'!I:I,MATCH(A43,'Судовые документы'!A:A,0)),IF(K43="Оформление таможенных документов",INDEX('Таможенные документы'!I:I,MATCH(A43,'Таможенные документы'!A:A,0)),IF(K43="Оформление экспортных грузов",INDEX('Экспортные грузы'!I:I,MATCH(A43,'Экспортные грузы'!A:A,0)),IF(K43="Терминальные операции",INDEX(Терминал!I:I,MATCH(A43,Терминал!A:A,0)),IF(K43="Документальное оформление ЖД грузов",INDEX('ЖД грузы'!I:I,MATCH(A43,'ЖД грузы'!A:A,0)),""))))),"")</f>
        <v>0</v>
      </c>
      <c r="J43" s="16" t="str">
        <f>IFERROR(IF(K43="Обработка судовых документов",INDEX('Судовые документы'!J:J,MATCH(A43,'Судовые документы'!A:A,0)),IF(K43="Оформление таможенных документов",INDEX('Таможенные документы'!J:J,MATCH(A43,'Таможенные документы'!A:A,0)),IF(K43="Оформление экспортных грузов",INDEX('Экспортные грузы'!J:J,MATCH(A43,'Экспортные грузы'!A:A,0)),IF(K43="Терминальные операции",INDEX(Терминал!J:J,MATCH(A43,Терминал!A:A,0)),IF(K43="Документальное оформление ЖД грузов",INDEX('ЖД грузы'!J:J,MATCH(A43,'ЖД грузы'!A:A,0)),""))))),"")</f>
        <v>Нет</v>
      </c>
      <c r="K43" s="19" t="s">
        <v>24</v>
      </c>
      <c r="L43" s="20" t="str">
        <f>IFERROR(IF(K43="Обработка судовых документов",INDEX('Судовые документы'!L:L,MATCH(A43,'Судовые документы'!A:A,0)),IF(K43="Оформление таможенных документов",INDEX('Таможенные документы'!L:L,MATCH(A43,'Таможенные документы'!A:A,0)),IF(K43="Оформление экспортных грузов",INDEX('Экспортные грузы'!L:L,MATCH(A43,'Экспортные грузы'!A:A,0)),IF(K43="Терминальные операции",INDEX(Терминал!L:L,MATCH(A43,Терминал!A:A,0)),IF(K43="Документальное оформление ЖД грузов",INDEX('ЖД грузы'!L:L,MATCH(A43,'ЖД грузы'!A:A,0)),""))))),"")</f>
        <v>Средний</v>
      </c>
      <c r="M43" s="16">
        <f>IFERROR(IF(K43="Обработка судовых документов",INDEX('Судовые документы'!K:K,MATCH(A43,'Судовые документы'!A:A,0)),IF(K43="Оформление таможенных документов",INDEX('Таможенные документы'!K:K,MATCH(A43,'Таможенные документы'!A:A,0)),IF(K43="Оформление экспортных грузов",INDEX('Экспортные грузы'!K:K,MATCH(A43,'Экспортные грузы'!A:A,0)),IF(K43="Терминальные операции",INDEX(Терминал!K:K,MATCH(A43,Терминал!A:A,0)),IF(K43="Документальное оформление ЖД грузов",INDEX('ЖД грузы'!K:K,MATCH(A43,'ЖД грузы'!A:A,0)),""))))),"")</f>
        <v>0</v>
      </c>
    </row>
    <row r="44" spans="1:13" ht="39.75" customHeight="1" x14ac:dyDescent="0.3">
      <c r="A44" s="3">
        <f>'ЖД грузы'!A8</f>
        <v>36</v>
      </c>
      <c r="B44" s="4">
        <f>'ЖД грузы'!B8</f>
        <v>0</v>
      </c>
      <c r="C44" s="5" t="str">
        <f>'ЖД грузы'!C8</f>
        <v>План ж.д. работ (Excel)</v>
      </c>
      <c r="D44" s="6" t="str">
        <f>IFERROR(IF(K44="Обработка судовых документов",INDEX('Судовые документы'!D:D,MATCH(A44,'Судовые документы'!A:A,0)),IF(K44="Оформление таможенных документов",INDEX('Таможенные документы'!D:D,MATCH(A44,'Таможенные документы'!A:A,0)),IF(K44="Оформление экспортных грузов",INDEX('Экспортные грузы'!D:D,MATCH(A44,'Экспортные грузы'!A:A,0)),IF(K44="Терминальные операции",INDEX(Терминал!D:D,MATCH(A44,Терминал!A:A,0)),IF(K44="Документальное оформление ЖД грузов",INDEX('ЖД грузы'!D:D,MATCH(A44,'ЖД грузы'!A:A,0)),""))))),"")</f>
        <v>Перенос ручного заполнения Excel в автоматический отчёт в СОЛВО</v>
      </c>
      <c r="E44" s="7" t="str">
        <f>IFERROR(IF(K44="Обработка судовых документов",INDEX('Судовые документы'!E:E,MATCH(A44,'Судовые документы'!A:A,0)),IF(K44="Оформление таможенных документов",INDEX('Таможенные документы'!E:E,MATCH(A44,'Таможенные документы'!A:A,0)),IF(K44="Оформление экспортных грузов",INDEX('Экспортные грузы'!E:E,MATCH(A44,'Экспортные грузы'!A:A,0)),IF(K44="Терминальные операции",INDEX(Терминал!E:E,MATCH(A44,Терминал!A:A,0)),IF(K44="Документальное оформление ЖД грузов",INDEX('ЖД грузы'!E:E,MATCH(A44,'ЖД грузы'!A:A,0)),""))))),"")</f>
        <v>2027</v>
      </c>
      <c r="F44" s="6" t="str">
        <f>IFERROR(IF(K44="Обработка судовых документов",INDEX('Судовые документы'!F:F,MATCH(A44,'Судовые документы'!A:A,0)),IF(K44="Оформление таможенных документов",INDEX('Таможенные документы'!F:F,MATCH(A44,'Таможенные документы'!A:A,0)),IF(K44="Оформление экспортных грузов",INDEX('Экспортные грузы'!F:F,MATCH(A44,'Экспортные грузы'!A:A,0)),IF(K44="Терминальные операции",INDEX(Терминал!F:F,MATCH(A44,Терминал!A:A,0)),IF(K44="Документальное оформление ЖД грузов",INDEX('ЖД грузы'!F:F,MATCH(A44,'ЖД грузы'!A:A,0)),""))))),"")</f>
        <v>В работе</v>
      </c>
      <c r="G44" s="6" t="str">
        <f>IFERROR(IF(K44="Обработка судовых документов",INDEX('Судовые документы'!G:G,MATCH(A44,'Судовые документы'!A:A,0)),IF(K44="Оформление таможенных документов",INDEX('Таможенные документы'!G:G,MATCH(A44,'Таможенные документы'!A:A,0)),IF(K44="Оформление экспортных грузов",INDEX('Экспортные грузы'!G:G,MATCH(A44,'Экспортные грузы'!A:A,0)),IF(K44="Терминальные операции",INDEX(Терминал!G:G,MATCH(A44,Терминал!A:A,0)),IF(K44="Документальное оформление ЖД грузов",INDEX('ЖД грузы'!G:G,MATCH(A44,'ЖД грузы'!A:A,0)),""))))),"")</f>
        <v>Оценка</v>
      </c>
      <c r="H44" s="8" t="str">
        <f>IFERROR(IF(K44="Обработка судовых документов",INDEX('Судовые документы'!H:H,MATCH(A44,'Судовые документы'!A:A,0)),IF(K44="Оформление таможенных документов",INDEX('Таможенные документы'!H:H,MATCH(A44,'Таможенные документы'!A:A,0)),IF(K44="Оформление экспортных грузов",INDEX('Экспортные грузы'!H:H,MATCH(A44,'Экспортные грузы'!A:A,0)),IF(K44="Терминальные операции",INDEX(Терминал!H:H,MATCH(A44,Терминал!A:A,0)),IF(K44="Документальное оформление ЖД грузов",INDEX('ЖД грузы'!H:H,MATCH(A44,'ЖД грузы'!A:A,0)),""))))),"")</f>
        <v>Н/Д</v>
      </c>
      <c r="I44" s="9">
        <f>IFERROR(IF(K44="Обработка судовых документов",INDEX('Судовые документы'!I:I,MATCH(A44,'Судовые документы'!A:A,0)),IF(K44="Оформление таможенных документов",INDEX('Таможенные документы'!I:I,MATCH(A44,'Таможенные документы'!A:A,0)),IF(K44="Оформление экспортных грузов",INDEX('Экспортные грузы'!I:I,MATCH(A44,'Экспортные грузы'!A:A,0)),IF(K44="Терминальные операции",INDEX(Терминал!I:I,MATCH(A44,Терминал!A:A,0)),IF(K44="Документальное оформление ЖД грузов",INDEX('ЖД грузы'!I:I,MATCH(A44,'ЖД грузы'!A:A,0)),""))))),"")</f>
        <v>0</v>
      </c>
      <c r="J44" s="7" t="str">
        <f>IFERROR(IF(K44="Обработка судовых документов",INDEX('Судовые документы'!J:J,MATCH(A44,'Судовые документы'!A:A,0)),IF(K44="Оформление таможенных документов",INDEX('Таможенные документы'!J:J,MATCH(A44,'Таможенные документы'!A:A,0)),IF(K44="Оформление экспортных грузов",INDEX('Экспортные грузы'!J:J,MATCH(A44,'Экспортные грузы'!A:A,0)),IF(K44="Терминальные операции",INDEX(Терминал!J:J,MATCH(A44,Терминал!A:A,0)),IF(K44="Документальное оформление ЖД грузов",INDEX('ЖД грузы'!J:J,MATCH(A44,'ЖД грузы'!A:A,0)),""))))),"")</f>
        <v>Нет</v>
      </c>
      <c r="K44" s="10" t="s">
        <v>24</v>
      </c>
      <c r="L44" s="11" t="str">
        <f>IFERROR(IF(K44="Обработка судовых документов",INDEX('Судовые документы'!L:L,MATCH(A44,'Судовые документы'!A:A,0)),IF(K44="Оформление таможенных документов",INDEX('Таможенные документы'!L:L,MATCH(A44,'Таможенные документы'!A:A,0)),IF(K44="Оформление экспортных грузов",INDEX('Экспортные грузы'!L:L,MATCH(A44,'Экспортные грузы'!A:A,0)),IF(K44="Терминальные операции",INDEX(Терминал!L:L,MATCH(A44,Терминал!A:A,0)),IF(K44="Документальное оформление ЖД грузов",INDEX('ЖД грузы'!L:L,MATCH(A44,'ЖД грузы'!A:A,0)),""))))),"")</f>
        <v>Средний</v>
      </c>
      <c r="M44" s="7">
        <f>IFERROR(IF(K44="Обработка судовых документов",INDEX('Судовые документы'!K:K,MATCH(A44,'Судовые документы'!A:A,0)),IF(K44="Оформление таможенных документов",INDEX('Таможенные документы'!K:K,MATCH(A44,'Таможенные документы'!A:A,0)),IF(K44="Оформление экспортных грузов",INDEX('Экспортные грузы'!K:K,MATCH(A44,'Экспортные грузы'!A:A,0)),IF(K44="Терминальные операции",INDEX(Терминал!K:K,MATCH(A44,Терминал!A:A,0)),IF(K44="Документальное оформление ЖД грузов",INDEX('ЖД грузы'!K:K,MATCH(A44,'ЖД грузы'!A:A,0)),""))))),"")</f>
        <v>0</v>
      </c>
    </row>
    <row r="45" spans="1:13" ht="39.75" customHeight="1" x14ac:dyDescent="0.3">
      <c r="A45" s="12">
        <f>'ЖД грузы'!A9</f>
        <v>37</v>
      </c>
      <c r="B45" s="13" t="str">
        <f>'ЖД грузы'!B9</f>
        <v>4SC-RQ-CR-953 #3942095</v>
      </c>
      <c r="C45" s="14" t="str">
        <f>'ЖД грузы'!C9</f>
        <v>АОФ при выгрузке с ж.д.</v>
      </c>
      <c r="D45" s="15" t="str">
        <f>IFERROR(IF(K45="Обработка судовых документов",INDEX('Судовые документы'!D:D,MATCH(A45,'Судовые документы'!A:A,0)),IF(K45="Оформление таможенных документов",INDEX('Таможенные документы'!D:D,MATCH(A45,'Таможенные документы'!A:A,0)),IF(K45="Оформление экспортных грузов",INDEX('Экспортные грузы'!D:D,MATCH(A45,'Экспортные грузы'!A:A,0)),IF(K45="Терминальные операции",INDEX(Терминал!D:D,MATCH(A45,Терминал!A:A,0)),IF(K45="Документальное оформление ЖД грузов",INDEX('ЖД грузы'!D:D,MATCH(A45,'ЖД грузы'!A:A,0)),""))))),"")</f>
        <v>Автоматическое создание АОФ после внесения повреждений тальманом</v>
      </c>
      <c r="E45" s="16" t="str">
        <f>IFERROR(IF(K45="Обработка судовых документов",INDEX('Судовые документы'!E:E,MATCH(A45,'Судовые документы'!A:A,0)),IF(K45="Оформление таможенных документов",INDEX('Таможенные документы'!E:E,MATCH(A45,'Таможенные документы'!A:A,0)),IF(K45="Оформление экспортных грузов",INDEX('Экспортные грузы'!E:E,MATCH(A45,'Экспортные грузы'!A:A,0)),IF(K45="Терминальные операции",INDEX(Терминал!E:E,MATCH(A45,Терминал!A:A,0)),IF(K45="Документальное оформление ЖД грузов",INDEX('ЖД грузы'!E:E,MATCH(A45,'ЖД грузы'!A:A,0)),""))))),"")</f>
        <v>2026</v>
      </c>
      <c r="F45" s="15" t="str">
        <f>IFERROR(IF(K45="Обработка судовых документов",INDEX('Судовые документы'!F:F,MATCH(A45,'Судовые документы'!A:A,0)),IF(K45="Оформление таможенных документов",INDEX('Таможенные документы'!F:F,MATCH(A45,'Таможенные документы'!A:A,0)),IF(K45="Оформление экспортных грузов",INDEX('Экспортные грузы'!F:F,MATCH(A45,'Экспортные грузы'!A:A,0)),IF(K45="Терминальные операции",INDEX(Терминал!F:F,MATCH(A45,Терминал!A:A,0)),IF(K45="Документальное оформление ЖД грузов",INDEX('ЖД грузы'!F:F,MATCH(A45,'ЖД грузы'!A:A,0)),""))))),"")</f>
        <v>В работе</v>
      </c>
      <c r="G45" s="15" t="str">
        <f>IFERROR(IF(K45="Обработка судовых документов",INDEX('Судовые документы'!G:G,MATCH(A45,'Судовые документы'!A:A,0)),IF(K45="Оформление таможенных документов",INDEX('Таможенные документы'!G:G,MATCH(A45,'Таможенные документы'!A:A,0)),IF(K45="Оформление экспортных грузов",INDEX('Экспортные грузы'!G:G,MATCH(A45,'Экспортные грузы'!A:A,0)),IF(K45="Терминальные операции",INDEX(Терминал!G:G,MATCH(A45,Терминал!A:A,0)),IF(K45="Документальное оформление ЖД грузов",INDEX('ЖД грузы'!G:G,MATCH(A45,'ЖД грузы'!A:A,0)),""))))),"")</f>
        <v>Оценка</v>
      </c>
      <c r="H45" s="17" t="str">
        <f>IFERROR(IF(K45="Обработка судовых документов",INDEX('Судовые документы'!H:H,MATCH(A45,'Судовые документы'!A:A,0)),IF(K45="Оформление таможенных документов",INDEX('Таможенные документы'!H:H,MATCH(A45,'Таможенные документы'!A:A,0)),IF(K45="Оформление экспортных грузов",INDEX('Экспортные грузы'!H:H,MATCH(A45,'Экспортные грузы'!A:A,0)),IF(K45="Терминальные операции",INDEX(Терминал!H:H,MATCH(A45,Терминал!A:A,0)),IF(K45="Документальное оформление ЖД грузов",INDEX('ЖД грузы'!H:H,MATCH(A45,'ЖД грузы'!A:A,0)),""))))),"")</f>
        <v>7.4.11</v>
      </c>
      <c r="I45" s="18">
        <f>IFERROR(IF(K45="Обработка судовых документов",INDEX('Судовые документы'!I:I,MATCH(A45,'Судовые документы'!A:A,0)),IF(K45="Оформление таможенных документов",INDEX('Таможенные документы'!I:I,MATCH(A45,'Таможенные документы'!A:A,0)),IF(K45="Оформление экспортных грузов",INDEX('Экспортные грузы'!I:I,MATCH(A45,'Экспортные грузы'!A:A,0)),IF(K45="Терминальные операции",INDEX(Терминал!I:I,MATCH(A45,Терминал!A:A,0)),IF(K45="Документальное оформление ЖД грузов",INDEX('ЖД грузы'!I:I,MATCH(A45,'ЖД грузы'!A:A,0)),""))))),"")</f>
        <v>0</v>
      </c>
      <c r="J45" s="16" t="str">
        <f>IFERROR(IF(K45="Обработка судовых документов",INDEX('Судовые документы'!J:J,MATCH(A45,'Судовые документы'!A:A,0)),IF(K45="Оформление таможенных документов",INDEX('Таможенные документы'!J:J,MATCH(A45,'Таможенные документы'!A:A,0)),IF(K45="Оформление экспортных грузов",INDEX('Экспортные грузы'!J:J,MATCH(A45,'Экспортные грузы'!A:A,0)),IF(K45="Терминальные операции",INDEX(Терминал!J:J,MATCH(A45,Терминал!A:A,0)),IF(K45="Документальное оформление ЖД грузов",INDEX('ЖД грузы'!J:J,MATCH(A45,'ЖД грузы'!A:A,0)),""))))),"")</f>
        <v>Нет</v>
      </c>
      <c r="K45" s="19" t="s">
        <v>24</v>
      </c>
      <c r="L45" s="20" t="str">
        <f>IFERROR(IF(K45="Обработка судовых документов",INDEX('Судовые документы'!L:L,MATCH(A45,'Судовые документы'!A:A,0)),IF(K45="Оформление таможенных документов",INDEX('Таможенные документы'!L:L,MATCH(A45,'Таможенные документы'!A:A,0)),IF(K45="Оформление экспортных грузов",INDEX('Экспортные грузы'!L:L,MATCH(A45,'Экспортные грузы'!A:A,0)),IF(K45="Терминальные операции",INDEX(Терминал!L:L,MATCH(A45,Терминал!A:A,0)),IF(K45="Документальное оформление ЖД грузов",INDEX('ЖД грузы'!L:L,MATCH(A45,'ЖД грузы'!A:A,0)),""))))),"")</f>
        <v>Средний</v>
      </c>
      <c r="M45" s="16">
        <f>IFERROR(IF(K45="Обработка судовых документов",INDEX('Судовые документы'!K:K,MATCH(A45,'Судовые документы'!A:A,0)),IF(K45="Оформление таможенных документов",INDEX('Таможенные документы'!K:K,MATCH(A45,'Таможенные документы'!A:A,0)),IF(K45="Оформление экспортных грузов",INDEX('Экспортные грузы'!K:K,MATCH(A45,'Экспортные грузы'!A:A,0)),IF(K45="Терминальные операции",INDEX(Терминал!K:K,MATCH(A45,Терминал!A:A,0)),IF(K45="Документальное оформление ЖД грузов",INDEX('ЖД грузы'!K:K,MATCH(A45,'ЖД грузы'!A:A,0)),""))))),"")</f>
        <v>0</v>
      </c>
    </row>
    <row r="46" spans="1:13" ht="39.75" customHeight="1" x14ac:dyDescent="0.3">
      <c r="A46" s="3">
        <f>'ЖД грузы'!A10</f>
        <v>38</v>
      </c>
      <c r="B46" s="4" t="str">
        <f>'ЖД грузы'!B10</f>
        <v>#3895614</v>
      </c>
      <c r="C46" s="5" t="str">
        <f>'ЖД грузы'!C10</f>
        <v>Фиксация годности/брака платформ в СОЛВО</v>
      </c>
      <c r="D46" s="6" t="str">
        <f>IFERROR(IF(K46="Обработка судовых документов",INDEX('Судовые документы'!D:D,MATCH(A46,'Судовые документы'!A:A,0)),IF(K46="Оформление таможенных документов",INDEX('Таможенные документы'!D:D,MATCH(A46,'Таможенные документы'!A:A,0)),IF(K46="Оформление экспортных грузов",INDEX('Экспортные грузы'!D:D,MATCH(A46,'Экспортные грузы'!A:A,0)),IF(K46="Терминальные операции",INDEX(Терминал!D:D,MATCH(A46,Терминал!A:A,0)),IF(K46="Документальное оформление ЖД грузов",INDEX('ЖД грузы'!D:D,MATCH(A46,'ЖД грузы'!A:A,0)),""))))),"")</f>
        <v>Фиксация годности/брака платформ и блок погрузки бракованных платформ</v>
      </c>
      <c r="E46" s="7" t="str">
        <f>IFERROR(IF(K46="Обработка судовых документов",INDEX('Судовые документы'!E:E,MATCH(A46,'Судовые документы'!A:A,0)),IF(K46="Оформление таможенных документов",INDEX('Таможенные документы'!E:E,MATCH(A46,'Таможенные документы'!A:A,0)),IF(K46="Оформление экспортных грузов",INDEX('Экспортные грузы'!E:E,MATCH(A46,'Экспортные грузы'!A:A,0)),IF(K46="Терминальные операции",INDEX(Терминал!E:E,MATCH(A46,Терминал!A:A,0)),IF(K46="Документальное оформление ЖД грузов",INDEX('ЖД грузы'!E:E,MATCH(A46,'ЖД грузы'!A:A,0)),""))))),"")</f>
        <v>2026</v>
      </c>
      <c r="F46" s="6" t="str">
        <f>IFERROR(IF(K46="Обработка судовых документов",INDEX('Судовые документы'!F:F,MATCH(A46,'Судовые документы'!A:A,0)),IF(K46="Оформление таможенных документов",INDEX('Таможенные документы'!F:F,MATCH(A46,'Таможенные документы'!A:A,0)),IF(K46="Оформление экспортных грузов",INDEX('Экспортные грузы'!F:F,MATCH(A46,'Экспортные грузы'!A:A,0)),IF(K46="Терминальные операции",INDEX(Терминал!F:F,MATCH(A46,Терминал!A:A,0)),IF(K46="Документальное оформление ЖД грузов",INDEX('ЖД грузы'!F:F,MATCH(A46,'ЖД грузы'!A:A,0)),""))))),"")</f>
        <v>В работе</v>
      </c>
      <c r="G46" s="6" t="str">
        <f>IFERROR(IF(K46="Обработка судовых документов",INDEX('Судовые документы'!G:G,MATCH(A46,'Судовые документы'!A:A,0)),IF(K46="Оформление таможенных документов",INDEX('Таможенные документы'!G:G,MATCH(A46,'Таможенные документы'!A:A,0)),IF(K46="Оформление экспортных грузов",INDEX('Экспортные грузы'!G:G,MATCH(A46,'Экспортные грузы'!A:A,0)),IF(K46="Терминальные операции",INDEX(Терминал!G:G,MATCH(A46,Терминал!A:A,0)),IF(K46="Документальное оформление ЖД грузов",INDEX('ЖД грузы'!G:G,MATCH(A46,'ЖД грузы'!A:A,0)),""))))),"")</f>
        <v>Тестирование</v>
      </c>
      <c r="H46" s="8" t="str">
        <f>IFERROR(IF(K46="Обработка судовых документов",INDEX('Судовые документы'!H:H,MATCH(A46,'Судовые документы'!A:A,0)),IF(K46="Оформление таможенных документов",INDEX('Таможенные документы'!H:H,MATCH(A46,'Таможенные документы'!A:A,0)),IF(K46="Оформление экспортных грузов",INDEX('Экспортные грузы'!H:H,MATCH(A46,'Экспортные грузы'!A:A,0)),IF(K46="Терминальные операции",INDEX(Терминал!H:H,MATCH(A46,Терминал!A:A,0)),IF(K46="Документальное оформление ЖД грузов",INDEX('ЖД грузы'!H:H,MATCH(A46,'ЖД грузы'!A:A,0)),""))))),"")</f>
        <v>7.4.10</v>
      </c>
      <c r="I46" s="9">
        <f>IFERROR(IF(K46="Обработка судовых документов",INDEX('Судовые документы'!I:I,MATCH(A46,'Судовые документы'!A:A,0)),IF(K46="Оформление таможенных документов",INDEX('Таможенные документы'!I:I,MATCH(A46,'Таможенные документы'!A:A,0)),IF(K46="Оформление экспортных грузов",INDEX('Экспортные грузы'!I:I,MATCH(A46,'Экспортные грузы'!A:A,0)),IF(K46="Терминальные операции",INDEX(Терминал!I:I,MATCH(A46,Терминал!A:A,0)),IF(K46="Документальное оформление ЖД грузов",INDEX('ЖД грузы'!I:I,MATCH(A46,'ЖД грузы'!A:A,0)),""))))),"")</f>
        <v>175</v>
      </c>
      <c r="J46" s="7" t="str">
        <f>IFERROR(IF(K46="Обработка судовых документов",INDEX('Судовые документы'!J:J,MATCH(A46,'Судовые документы'!A:A,0)),IF(K46="Оформление таможенных документов",INDEX('Таможенные документы'!J:J,MATCH(A46,'Таможенные документы'!A:A,0)),IF(K46="Оформление экспортных грузов",INDEX('Экспортные грузы'!J:J,MATCH(A46,'Экспортные грузы'!A:A,0)),IF(K46="Терминальные операции",INDEX(Терминал!J:J,MATCH(A46,Терминал!A:A,0)),IF(K46="Документальное оформление ЖД грузов",INDEX('ЖД грузы'!J:J,MATCH(A46,'ЖД грузы'!A:A,0)),""))))),"")</f>
        <v>Да</v>
      </c>
      <c r="K46" s="10" t="s">
        <v>24</v>
      </c>
      <c r="L46" s="11" t="str">
        <f>IFERROR(IF(K46="Обработка судовых документов",INDEX('Судовые документы'!L:L,MATCH(A46,'Судовые документы'!A:A,0)),IF(K46="Оформление таможенных документов",INDEX('Таможенные документы'!L:L,MATCH(A46,'Таможенные документы'!A:A,0)),IF(K46="Оформление экспортных грузов",INDEX('Экспортные грузы'!L:L,MATCH(A46,'Экспортные грузы'!A:A,0)),IF(K46="Терминальные операции",INDEX(Терминал!L:L,MATCH(A46,Терминал!A:A,0)),IF(K46="Документальное оформление ЖД грузов",INDEX('ЖД грузы'!L:L,MATCH(A46,'ЖД грузы'!A:A,0)),""))))),"")</f>
        <v>Средний</v>
      </c>
      <c r="M46" s="7">
        <f>IFERROR(IF(K46="Обработка судовых документов",INDEX('Судовые документы'!K:K,MATCH(A46,'Судовые документы'!A:A,0)),IF(K46="Оформление таможенных документов",INDEX('Таможенные документы'!K:K,MATCH(A46,'Таможенные документы'!A:A,0)),IF(K46="Оформление экспортных грузов",INDEX('Экспортные грузы'!K:K,MATCH(A46,'Экспортные грузы'!A:A,0)),IF(K46="Терминальные операции",INDEX(Терминал!K:K,MATCH(A46,Терминал!A:A,0)),IF(K46="Документальное оформление ЖД грузов",INDEX('ЖД грузы'!K:K,MATCH(A46,'ЖД грузы'!A:A,0)),""))))),"")</f>
        <v>0</v>
      </c>
    </row>
    <row r="47" spans="1:13" ht="39.75" customHeight="1" x14ac:dyDescent="0.3">
      <c r="A47" s="12">
        <f>'ЖД грузы'!A11</f>
        <v>39</v>
      </c>
      <c r="B47" s="13" t="str">
        <f>'ЖД грузы'!B11</f>
        <v>4SC-RQ-CR-973 #3983805</v>
      </c>
      <c r="C47" s="14" t="str">
        <f>'ЖД грузы'!C11</f>
        <v>Права на изменение типа тамож. документа в ЖД накладных</v>
      </c>
      <c r="D47" s="15" t="str">
        <f>IFERROR(IF(K47="Обработка судовых документов",INDEX('Судовые документы'!D:D,MATCH(A47,'Судовые документы'!A:A,0)),IF(K47="Оформление таможенных документов",INDEX('Таможенные документы'!D:D,MATCH(A47,'Таможенные документы'!A:A,0)),IF(K47="Оформление экспортных грузов",INDEX('Экспортные грузы'!D:D,MATCH(A47,'Экспортные грузы'!A:A,0)),IF(K47="Терминальные операции",INDEX(Терминал!D:D,MATCH(A47,Терминал!A:A,0)),IF(K47="Документальное оформление ЖД грузов",INDEX('ЖД грузы'!D:D,MATCH(A47,'ЖД грузы'!A:A,0)),""))))),"")</f>
        <v>Возможность изменить тип таможенного документа (ГТД, ВТТ) сотрудниками ЖД группы</v>
      </c>
      <c r="E47" s="16" t="str">
        <f>IFERROR(IF(K47="Обработка судовых документов",INDEX('Судовые документы'!E:E,MATCH(A47,'Судовые документы'!A:A,0)),IF(K47="Оформление таможенных документов",INDEX('Таможенные документы'!E:E,MATCH(A47,'Таможенные документы'!A:A,0)),IF(K47="Оформление экспортных грузов",INDEX('Экспортные грузы'!E:E,MATCH(A47,'Экспортные грузы'!A:A,0)),IF(K47="Терминальные операции",INDEX(Терминал!E:E,MATCH(A47,Терминал!A:A,0)),IF(K47="Документальное оформление ЖД грузов",INDEX('ЖД грузы'!E:E,MATCH(A47,'ЖД грузы'!A:A,0)),""))))),"")</f>
        <v>2026</v>
      </c>
      <c r="F47" s="15" t="str">
        <f>IFERROR(IF(K47="Обработка судовых документов",INDEX('Судовые документы'!F:F,MATCH(A47,'Судовые документы'!A:A,0)),IF(K47="Оформление таможенных документов",INDEX('Таможенные документы'!F:F,MATCH(A47,'Таможенные документы'!A:A,0)),IF(K47="Оформление экспортных грузов",INDEX('Экспортные грузы'!F:F,MATCH(A47,'Экспортные грузы'!A:A,0)),IF(K47="Терминальные операции",INDEX(Терминал!F:F,MATCH(A47,Терминал!A:A,0)),IF(K47="Документальное оформление ЖД грузов",INDEX('ЖД грузы'!F:F,MATCH(A47,'ЖД грузы'!A:A,0)),""))))),"")</f>
        <v>В работе</v>
      </c>
      <c r="G47" s="15" t="str">
        <f>IFERROR(IF(K47="Обработка судовых документов",INDEX('Судовые документы'!G:G,MATCH(A47,'Судовые документы'!A:A,0)),IF(K47="Оформление таможенных документов",INDEX('Таможенные документы'!G:G,MATCH(A47,'Таможенные документы'!A:A,0)),IF(K47="Оформление экспортных грузов",INDEX('Экспортные грузы'!G:G,MATCH(A47,'Экспортные грузы'!A:A,0)),IF(K47="Терминальные операции",INDEX(Терминал!G:G,MATCH(A47,Терминал!A:A,0)),IF(K47="Документальное оформление ЖД грузов",INDEX('ЖД грузы'!G:G,MATCH(A47,'ЖД грузы'!A:A,0)),""))))),"")</f>
        <v>Ожидает рассмотрения</v>
      </c>
      <c r="H47" s="17" t="str">
        <f>IFERROR(IF(K47="Обработка судовых документов",INDEX('Судовые документы'!H:H,MATCH(A47,'Судовые документы'!A:A,0)),IF(K47="Оформление таможенных документов",INDEX('Таможенные документы'!H:H,MATCH(A47,'Таможенные документы'!A:A,0)),IF(K47="Оформление экспортных грузов",INDEX('Экспортные грузы'!H:H,MATCH(A47,'Экспортные грузы'!A:A,0)),IF(K47="Терминальные операции",INDEX(Терминал!H:H,MATCH(A47,Терминал!A:A,0)),IF(K47="Документальное оформление ЖД грузов",INDEX('ЖД грузы'!H:H,MATCH(A47,'ЖД грузы'!A:A,0)),""))))),"")</f>
        <v>7.4.11</v>
      </c>
      <c r="I47" s="18">
        <f>IFERROR(IF(K47="Обработка судовых документов",INDEX('Судовые документы'!I:I,MATCH(A47,'Судовые документы'!A:A,0)),IF(K47="Оформление таможенных документов",INDEX('Таможенные документы'!I:I,MATCH(A47,'Таможенные документы'!A:A,0)),IF(K47="Оформление экспортных грузов",INDEX('Экспортные грузы'!I:I,MATCH(A47,'Экспортные грузы'!A:A,0)),IF(K47="Терминальные операции",INDEX(Терминал!I:I,MATCH(A47,Терминал!A:A,0)),IF(K47="Документальное оформление ЖД грузов",INDEX('ЖД грузы'!I:I,MATCH(A47,'ЖД грузы'!A:A,0)),""))))),"")</f>
        <v>0</v>
      </c>
      <c r="J47" s="16" t="str">
        <f>IFERROR(IF(K47="Обработка судовых документов",INDEX('Судовые документы'!J:J,MATCH(A47,'Судовые документы'!A:A,0)),IF(K47="Оформление таможенных документов",INDEX('Таможенные документы'!J:J,MATCH(A47,'Таможенные документы'!A:A,0)),IF(K47="Оформление экспортных грузов",INDEX('Экспортные грузы'!J:J,MATCH(A47,'Экспортные грузы'!A:A,0)),IF(K47="Терминальные операции",INDEX(Терминал!J:J,MATCH(A47,Терминал!A:A,0)),IF(K47="Документальное оформление ЖД грузов",INDEX('ЖД грузы'!J:J,MATCH(A47,'ЖД грузы'!A:A,0)),""))))),"")</f>
        <v>Нет</v>
      </c>
      <c r="K47" s="19" t="s">
        <v>24</v>
      </c>
      <c r="L47" s="20" t="str">
        <f>IFERROR(IF(K47="Обработка судовых документов",INDEX('Судовые документы'!L:L,MATCH(A47,'Судовые документы'!A:A,0)),IF(K47="Оформление таможенных документов",INDEX('Таможенные документы'!L:L,MATCH(A47,'Таможенные документы'!A:A,0)),IF(K47="Оформление экспортных грузов",INDEX('Экспортные грузы'!L:L,MATCH(A47,'Экспортные грузы'!A:A,0)),IF(K47="Терминальные операции",INDEX(Терминал!L:L,MATCH(A47,Терминал!A:A,0)),IF(K47="Документальное оформление ЖД грузов",INDEX('ЖД грузы'!L:L,MATCH(A47,'ЖД грузы'!A:A,0)),""))))),"")</f>
        <v>Средний</v>
      </c>
      <c r="M47" s="16">
        <f>IFERROR(IF(K47="Обработка судовых документов",INDEX('Судовые документы'!K:K,MATCH(A47,'Судовые документы'!A:A,0)),IF(K47="Оформление таможенных документов",INDEX('Таможенные документы'!K:K,MATCH(A47,'Таможенные документы'!A:A,0)),IF(K47="Оформление экспортных грузов",INDEX('Экспортные грузы'!K:K,MATCH(A47,'Экспортные грузы'!A:A,0)),IF(K47="Терминальные операции",INDEX(Терминал!K:K,MATCH(A47,Терминал!A:A,0)),IF(K47="Документальное оформление ЖД грузов",INDEX('ЖД грузы'!K:K,MATCH(A47,'ЖД грузы'!A:A,0)),""))))),"")</f>
        <v>0</v>
      </c>
    </row>
    <row r="48" spans="1:13" ht="39.75" customHeight="1" x14ac:dyDescent="0.3">
      <c r="A48" s="3">
        <f>'ЖД грузы'!A12</f>
        <v>40</v>
      </c>
      <c r="B48" s="4" t="str">
        <f>'ЖД грузы'!B12</f>
        <v>4SC-RQ-CR-996 #3735739</v>
      </c>
      <c r="C48" s="5" t="str">
        <f>'ЖД грузы'!C12</f>
        <v>ЖДН — АС ЭТРАН: добавить поле ID накладной</v>
      </c>
      <c r="D48" s="6" t="str">
        <f>IFERROR(IF(K48="Обработка судовых документов",INDEX('Судовые документы'!D:D,MATCH(A48,'Судовые документы'!A:A,0)),IF(K48="Оформление таможенных документов",INDEX('Таможенные документы'!D:D,MATCH(A48,'Таможенные документы'!A:A,0)),IF(K48="Оформление экспортных грузов",INDEX('Экспортные грузы'!D:D,MATCH(A48,'Экспортные грузы'!A:A,0)),IF(K48="Терминальные операции",INDEX(Терминал!D:D,MATCH(A48,Терминал!A:A,0)),IF(K48="Документальное оформление ЖД грузов",INDEX('ЖД грузы'!D:D,MATCH(A48,'ЖД грузы'!A:A,0)),""))))),"")</f>
        <v>Добавить поле ID накладной при загрузке ЖДН для исключения ошибки дублирования</v>
      </c>
      <c r="E48" s="7" t="str">
        <f>IFERROR(IF(K48="Обработка судовых документов",INDEX('Судовые документы'!E:E,MATCH(A48,'Судовые документы'!A:A,0)),IF(K48="Оформление таможенных документов",INDEX('Таможенные документы'!E:E,MATCH(A48,'Таможенные документы'!A:A,0)),IF(K48="Оформление экспортных грузов",INDEX('Экспортные грузы'!E:E,MATCH(A48,'Экспортные грузы'!A:A,0)),IF(K48="Терминальные операции",INDEX(Терминал!E:E,MATCH(A48,Терминал!A:A,0)),IF(K48="Документальное оформление ЖД грузов",INDEX('ЖД грузы'!E:E,MATCH(A48,'ЖД грузы'!A:A,0)),""))))),"")</f>
        <v>2026</v>
      </c>
      <c r="F48" s="6" t="str">
        <f>IFERROR(IF(K48="Обработка судовых документов",INDEX('Судовые документы'!F:F,MATCH(A48,'Судовые документы'!A:A,0)),IF(K48="Оформление таможенных документов",INDEX('Таможенные документы'!F:F,MATCH(A48,'Таможенные документы'!A:A,0)),IF(K48="Оформление экспортных грузов",INDEX('Экспортные грузы'!F:F,MATCH(A48,'Экспортные грузы'!A:A,0)),IF(K48="Терминальные операции",INDEX(Терминал!F:F,MATCH(A48,Терминал!A:A,0)),IF(K48="Документальное оформление ЖД грузов",INDEX('ЖД грузы'!F:F,MATCH(A48,'ЖД грузы'!A:A,0)),""))))),"")</f>
        <v>В работе</v>
      </c>
      <c r="G48" s="6" t="str">
        <f>IFERROR(IF(K48="Обработка судовых документов",INDEX('Судовые документы'!G:G,MATCH(A48,'Судовые документы'!A:A,0)),IF(K48="Оформление таможенных документов",INDEX('Таможенные документы'!G:G,MATCH(A48,'Таможенные документы'!A:A,0)),IF(K48="Оформление экспортных грузов",INDEX('Экспортные грузы'!G:G,MATCH(A48,'Экспортные грузы'!A:A,0)),IF(K48="Терминальные операции",INDEX(Терминал!G:G,MATCH(A48,Терминал!A:A,0)),IF(K48="Документальное оформление ЖД грузов",INDEX('ЖД грузы'!G:G,MATCH(A48,'ЖД грузы'!A:A,0)),""))))),"")</f>
        <v>Ожидает рассмотрения</v>
      </c>
      <c r="H48" s="8" t="str">
        <f>IFERROR(IF(K48="Обработка судовых документов",INDEX('Судовые документы'!H:H,MATCH(A48,'Судовые документы'!A:A,0)),IF(K48="Оформление таможенных документов",INDEX('Таможенные документы'!H:H,MATCH(A48,'Таможенные документы'!A:A,0)),IF(K48="Оформление экспортных грузов",INDEX('Экспортные грузы'!H:H,MATCH(A48,'Экспортные грузы'!A:A,0)),IF(K48="Терминальные операции",INDEX(Терминал!H:H,MATCH(A48,Терминал!A:A,0)),IF(K48="Документальное оформление ЖД грузов",INDEX('ЖД грузы'!H:H,MATCH(A48,'ЖД грузы'!A:A,0)),""))))),"")</f>
        <v>7.4.11</v>
      </c>
      <c r="I48" s="9">
        <f>IFERROR(IF(K48="Обработка судовых документов",INDEX('Судовые документы'!I:I,MATCH(A48,'Судовые документы'!A:A,0)),IF(K48="Оформление таможенных документов",INDEX('Таможенные документы'!I:I,MATCH(A48,'Таможенные документы'!A:A,0)),IF(K48="Оформление экспортных грузов",INDEX('Экспортные грузы'!I:I,MATCH(A48,'Экспортные грузы'!A:A,0)),IF(K48="Терминальные операции",INDEX(Терминал!I:I,MATCH(A48,Терминал!A:A,0)),IF(K48="Документальное оформление ЖД грузов",INDEX('ЖД грузы'!I:I,MATCH(A48,'ЖД грузы'!A:A,0)),""))))),"")</f>
        <v>0</v>
      </c>
      <c r="J48" s="7" t="str">
        <f>IFERROR(IF(K48="Обработка судовых документов",INDEX('Судовые документы'!J:J,MATCH(A48,'Судовые документы'!A:A,0)),IF(K48="Оформление таможенных документов",INDEX('Таможенные документы'!J:J,MATCH(A48,'Таможенные документы'!A:A,0)),IF(K48="Оформление экспортных грузов",INDEX('Экспортные грузы'!J:J,MATCH(A48,'Экспортные грузы'!A:A,0)),IF(K48="Терминальные операции",INDEX(Терминал!J:J,MATCH(A48,Терминал!A:A,0)),IF(K48="Документальное оформление ЖД грузов",INDEX('ЖД грузы'!J:J,MATCH(A48,'ЖД грузы'!A:A,0)),""))))),"")</f>
        <v>Нет</v>
      </c>
      <c r="K48" s="10" t="s">
        <v>24</v>
      </c>
      <c r="L48" s="11" t="str">
        <f>IFERROR(IF(K48="Обработка судовых документов",INDEX('Судовые документы'!L:L,MATCH(A48,'Судовые документы'!A:A,0)),IF(K48="Оформление таможенных документов",INDEX('Таможенные документы'!L:L,MATCH(A48,'Таможенные документы'!A:A,0)),IF(K48="Оформление экспортных грузов",INDEX('Экспортные грузы'!L:L,MATCH(A48,'Экспортные грузы'!A:A,0)),IF(K48="Терминальные операции",INDEX(Терминал!L:L,MATCH(A48,Терминал!A:A,0)),IF(K48="Документальное оформление ЖД грузов",INDEX('ЖД грузы'!L:L,MATCH(A48,'ЖД грузы'!A:A,0)),""))))),"")</f>
        <v>Средний</v>
      </c>
      <c r="M48" s="7">
        <f>IFERROR(IF(K48="Обработка судовых документов",INDEX('Судовые документы'!K:K,MATCH(A48,'Судовые документы'!A:A,0)),IF(K48="Оформление таможенных документов",INDEX('Таможенные документы'!K:K,MATCH(A48,'Таможенные документы'!A:A,0)),IF(K48="Оформление экспортных грузов",INDEX('Экспортные грузы'!K:K,MATCH(A48,'Экспортные грузы'!A:A,0)),IF(K48="Терминальные операции",INDEX(Терминал!K:K,MATCH(A48,Терминал!A:A,0)),IF(K48="Документальное оформление ЖД грузов",INDEX('ЖД грузы'!K:K,MATCH(A48,'ЖД грузы'!A:A,0)),""))))),"")</f>
        <v>0</v>
      </c>
    </row>
    <row r="49" spans="1:13" ht="39.75" customHeight="1" x14ac:dyDescent="0.3">
      <c r="A49" s="12">
        <f>'ЖД грузы'!A13</f>
        <v>41</v>
      </c>
      <c r="B49" s="13" t="str">
        <f>'ЖД грузы'!B13</f>
        <v>4SC-RQ-CR-958 #3959534</v>
      </c>
      <c r="C49" s="14" t="str">
        <f>'ЖД грузы'!C13</f>
        <v>Корректировка номера документа в Инструкции на погрузку ГУ 12</v>
      </c>
      <c r="D49" s="15" t="str">
        <f>IFERROR(IF(K49="Обработка судовых документов",INDEX('Судовые документы'!D:D,MATCH(A49,'Судовые документы'!A:A,0)),IF(K49="Оформление таможенных документов",INDEX('Таможенные документы'!D:D,MATCH(A49,'Таможенные документы'!A:A,0)),IF(K49="Оформление экспортных грузов",INDEX('Экспортные грузы'!D:D,MATCH(A49,'Экспортные грузы'!A:A,0)),IF(K49="Терминальные операции",INDEX(Терминал!D:D,MATCH(A49,Терминал!A:A,0)),IF(K49="Документальное оформление ЖД грузов",INDEX('ЖД грузы'!D:D,MATCH(A49,'ЖД грузы'!A:A,0)),""))))),"")</f>
        <v>Возможность изменить номер документа до момента отправки разнарядки</v>
      </c>
      <c r="E49" s="16" t="str">
        <f>IFERROR(IF(K49="Обработка судовых документов",INDEX('Судовые документы'!E:E,MATCH(A49,'Судовые документы'!A:A,0)),IF(K49="Оформление таможенных документов",INDEX('Таможенные документы'!E:E,MATCH(A49,'Таможенные документы'!A:A,0)),IF(K49="Оформление экспортных грузов",INDEX('Экспортные грузы'!E:E,MATCH(A49,'Экспортные грузы'!A:A,0)),IF(K49="Терминальные операции",INDEX(Терминал!E:E,MATCH(A49,Терминал!A:A,0)),IF(K49="Документальное оформление ЖД грузов",INDEX('ЖД грузы'!E:E,MATCH(A49,'ЖД грузы'!A:A,0)),""))))),"")</f>
        <v>2026</v>
      </c>
      <c r="F49" s="15" t="str">
        <f>IFERROR(IF(K49="Обработка судовых документов",INDEX('Судовые документы'!F:F,MATCH(A49,'Судовые документы'!A:A,0)),IF(K49="Оформление таможенных документов",INDEX('Таможенные документы'!F:F,MATCH(A49,'Таможенные документы'!A:A,0)),IF(K49="Оформление экспортных грузов",INDEX('Экспортные грузы'!F:F,MATCH(A49,'Экспортные грузы'!A:A,0)),IF(K49="Терминальные операции",INDEX(Терминал!F:F,MATCH(A49,Терминал!A:A,0)),IF(K49="Документальное оформление ЖД грузов",INDEX('ЖД грузы'!F:F,MATCH(A49,'ЖД грузы'!A:A,0)),""))))),"")</f>
        <v>В работе</v>
      </c>
      <c r="G49" s="15" t="str">
        <f>IFERROR(IF(K49="Обработка судовых документов",INDEX('Судовые документы'!G:G,MATCH(A49,'Судовые документы'!A:A,0)),IF(K49="Оформление таможенных документов",INDEX('Таможенные документы'!G:G,MATCH(A49,'Таможенные документы'!A:A,0)),IF(K49="Оформление экспортных грузов",INDEX('Экспортные грузы'!G:G,MATCH(A49,'Экспортные грузы'!A:A,0)),IF(K49="Терминальные операции",INDEX(Терминал!G:G,MATCH(A49,Терминал!A:A,0)),IF(K49="Документальное оформление ЖД грузов",INDEX('ЖД грузы'!G:G,MATCH(A49,'ЖД грузы'!A:A,0)),""))))),"")</f>
        <v>Ожидает рассмотрения</v>
      </c>
      <c r="H49" s="17" t="str">
        <f>IFERROR(IF(K49="Обработка судовых документов",INDEX('Судовые документы'!H:H,MATCH(A49,'Судовые документы'!A:A,0)),IF(K49="Оформление таможенных документов",INDEX('Таможенные документы'!H:H,MATCH(A49,'Таможенные документы'!A:A,0)),IF(K49="Оформление экспортных грузов",INDEX('Экспортные грузы'!H:H,MATCH(A49,'Экспортные грузы'!A:A,0)),IF(K49="Терминальные операции",INDEX(Терминал!H:H,MATCH(A49,Терминал!A:A,0)),IF(K49="Документальное оформление ЖД грузов",INDEX('ЖД грузы'!H:H,MATCH(A49,'ЖД грузы'!A:A,0)),""))))),"")</f>
        <v>7.4.11</v>
      </c>
      <c r="I49" s="18">
        <f>IFERROR(IF(K49="Обработка судовых документов",INDEX('Судовые документы'!I:I,MATCH(A49,'Судовые документы'!A:A,0)),IF(K49="Оформление таможенных документов",INDEX('Таможенные документы'!I:I,MATCH(A49,'Таможенные документы'!A:A,0)),IF(K49="Оформление экспортных грузов",INDEX('Экспортные грузы'!I:I,MATCH(A49,'Экспортные грузы'!A:A,0)),IF(K49="Терминальные операции",INDEX(Терминал!I:I,MATCH(A49,Терминал!A:A,0)),IF(K49="Документальное оформление ЖД грузов",INDEX('ЖД грузы'!I:I,MATCH(A49,'ЖД грузы'!A:A,0)),""))))),"")</f>
        <v>0</v>
      </c>
      <c r="J49" s="16" t="str">
        <f>IFERROR(IF(K49="Обработка судовых документов",INDEX('Судовые документы'!J:J,MATCH(A49,'Судовые документы'!A:A,0)),IF(K49="Оформление таможенных документов",INDEX('Таможенные документы'!J:J,MATCH(A49,'Таможенные документы'!A:A,0)),IF(K49="Оформление экспортных грузов",INDEX('Экспортные грузы'!J:J,MATCH(A49,'Экспортные грузы'!A:A,0)),IF(K49="Терминальные операции",INDEX(Терминал!J:J,MATCH(A49,Терминал!A:A,0)),IF(K49="Документальное оформление ЖД грузов",INDEX('ЖД грузы'!J:J,MATCH(A49,'ЖД грузы'!A:A,0)),""))))),"")</f>
        <v>Нет</v>
      </c>
      <c r="K49" s="19" t="s">
        <v>24</v>
      </c>
      <c r="L49" s="20" t="str">
        <f>IFERROR(IF(K49="Обработка судовых документов",INDEX('Судовые документы'!L:L,MATCH(A49,'Судовые документы'!A:A,0)),IF(K49="Оформление таможенных документов",INDEX('Таможенные документы'!L:L,MATCH(A49,'Таможенные документы'!A:A,0)),IF(K49="Оформление экспортных грузов",INDEX('Экспортные грузы'!L:L,MATCH(A49,'Экспортные грузы'!A:A,0)),IF(K49="Терминальные операции",INDEX(Терминал!L:L,MATCH(A49,Терминал!A:A,0)),IF(K49="Документальное оформление ЖД грузов",INDEX('ЖД грузы'!L:L,MATCH(A49,'ЖД грузы'!A:A,0)),""))))),"")</f>
        <v>Средний</v>
      </c>
      <c r="M49" s="16">
        <f>IFERROR(IF(K49="Обработка судовых документов",INDEX('Судовые документы'!K:K,MATCH(A49,'Судовые документы'!A:A,0)),IF(K49="Оформление таможенных документов",INDEX('Таможенные документы'!K:K,MATCH(A49,'Таможенные документы'!A:A,0)),IF(K49="Оформление экспортных грузов",INDEX('Экспортные грузы'!K:K,MATCH(A49,'Экспортные грузы'!A:A,0)),IF(K49="Терминальные операции",INDEX(Терминал!K:K,MATCH(A49,Терминал!A:A,0)),IF(K49="Документальное оформление ЖД грузов",INDEX('ЖД грузы'!K:K,MATCH(A49,'ЖД грузы'!A:A,0)),""))))),"")</f>
        <v>0</v>
      </c>
    </row>
    <row r="50" spans="1:13" ht="39.75" customHeight="1" x14ac:dyDescent="0.3">
      <c r="A50" s="3">
        <f>'ЖД грузы'!A14</f>
        <v>42</v>
      </c>
      <c r="B50" s="4" t="str">
        <f>'ЖД грузы'!B14</f>
        <v>4SC-RQ-CR-1012 #4077382</v>
      </c>
      <c r="C50" s="5" t="str">
        <f>'ЖД грузы'!C14</f>
        <v>Корректировка договора в ГУ-12</v>
      </c>
      <c r="D50" s="6" t="str">
        <f>IFERROR(IF(K50="Обработка судовых документов",INDEX('Судовые документы'!D:D,MATCH(A50,'Судовые документы'!A:A,0)),IF(K50="Оформление таможенных документов",INDEX('Таможенные документы'!D:D,MATCH(A50,'Таможенные документы'!A:A,0)),IF(K50="Оформление экспортных грузов",INDEX('Экспортные грузы'!D:D,MATCH(A50,'Экспортные грузы'!A:A,0)),IF(K50="Терминальные операции",INDEX(Терминал!D:D,MATCH(A50,Терминал!A:A,0)),IF(K50="Документальное оформление ЖД грузов",INDEX('ЖД грузы'!D:D,MATCH(A50,'ЖД грузы'!A:A,0)),""))))),"")</f>
        <v>При редактировании ГУ12 активировать поле «Договор» для редактирования</v>
      </c>
      <c r="E50" s="7" t="str">
        <f>IFERROR(IF(K50="Обработка судовых документов",INDEX('Судовые документы'!E:E,MATCH(A50,'Судовые документы'!A:A,0)),IF(K50="Оформление таможенных документов",INDEX('Таможенные документы'!E:E,MATCH(A50,'Таможенные документы'!A:A,0)),IF(K50="Оформление экспортных грузов",INDEX('Экспортные грузы'!E:E,MATCH(A50,'Экспортные грузы'!A:A,0)),IF(K50="Терминальные операции",INDEX(Терминал!E:E,MATCH(A50,Терминал!A:A,0)),IF(K50="Документальное оформление ЖД грузов",INDEX('ЖД грузы'!E:E,MATCH(A50,'ЖД грузы'!A:A,0)),""))))),"")</f>
        <v>2026</v>
      </c>
      <c r="F50" s="6" t="str">
        <f>IFERROR(IF(K50="Обработка судовых документов",INDEX('Судовые документы'!F:F,MATCH(A50,'Судовые документы'!A:A,0)),IF(K50="Оформление таможенных документов",INDEX('Таможенные документы'!F:F,MATCH(A50,'Таможенные документы'!A:A,0)),IF(K50="Оформление экспортных грузов",INDEX('Экспортные грузы'!F:F,MATCH(A50,'Экспортные грузы'!A:A,0)),IF(K50="Терминальные операции",INDEX(Терминал!F:F,MATCH(A50,Терминал!A:A,0)),IF(K50="Документальное оформление ЖД грузов",INDEX('ЖД грузы'!F:F,MATCH(A50,'ЖД грузы'!A:A,0)),""))))),"")</f>
        <v>В работе</v>
      </c>
      <c r="G50" s="6" t="str">
        <f>IFERROR(IF(K50="Обработка судовых документов",INDEX('Судовые документы'!G:G,MATCH(A50,'Судовые документы'!A:A,0)),IF(K50="Оформление таможенных документов",INDEX('Таможенные документы'!G:G,MATCH(A50,'Таможенные документы'!A:A,0)),IF(K50="Оформление экспортных грузов",INDEX('Экспортные грузы'!G:G,MATCH(A50,'Экспортные грузы'!A:A,0)),IF(K50="Терминальные операции",INDEX(Терминал!G:G,MATCH(A50,Терминал!A:A,0)),IF(K50="Документальное оформление ЖД грузов",INDEX('ЖД грузы'!G:G,MATCH(A50,'ЖД грузы'!A:A,0)),""))))),"")</f>
        <v>Ожидает рассмотрения</v>
      </c>
      <c r="H50" s="8" t="str">
        <f>IFERROR(IF(K50="Обработка судовых документов",INDEX('Судовые документы'!H:H,MATCH(A50,'Судовые документы'!A:A,0)),IF(K50="Оформление таможенных документов",INDEX('Таможенные документы'!H:H,MATCH(A50,'Таможенные документы'!A:A,0)),IF(K50="Оформление экспортных грузов",INDEX('Экспортные грузы'!H:H,MATCH(A50,'Экспортные грузы'!A:A,0)),IF(K50="Терминальные операции",INDEX(Терминал!H:H,MATCH(A50,Терминал!A:A,0)),IF(K50="Документальное оформление ЖД грузов",INDEX('ЖД грузы'!H:H,MATCH(A50,'ЖД грузы'!A:A,0)),""))))),"")</f>
        <v>7.4.11</v>
      </c>
      <c r="I50" s="9">
        <f>IFERROR(IF(K50="Обработка судовых документов",INDEX('Судовые документы'!I:I,MATCH(A50,'Судовые документы'!A:A,0)),IF(K50="Оформление таможенных документов",INDEX('Таможенные документы'!I:I,MATCH(A50,'Таможенные документы'!A:A,0)),IF(K50="Оформление экспортных грузов",INDEX('Экспортные грузы'!I:I,MATCH(A50,'Экспортные грузы'!A:A,0)),IF(K50="Терминальные операции",INDEX(Терминал!I:I,MATCH(A50,Терминал!A:A,0)),IF(K50="Документальное оформление ЖД грузов",INDEX('ЖД грузы'!I:I,MATCH(A50,'ЖД грузы'!A:A,0)),""))))),"")</f>
        <v>0</v>
      </c>
      <c r="J50" s="7" t="str">
        <f>IFERROR(IF(K50="Обработка судовых документов",INDEX('Судовые документы'!J:J,MATCH(A50,'Судовые документы'!A:A,0)),IF(K50="Оформление таможенных документов",INDEX('Таможенные документы'!J:J,MATCH(A50,'Таможенные документы'!A:A,0)),IF(K50="Оформление экспортных грузов",INDEX('Экспортные грузы'!J:J,MATCH(A50,'Экспортные грузы'!A:A,0)),IF(K50="Терминальные операции",INDEX(Терминал!J:J,MATCH(A50,Терминал!A:A,0)),IF(K50="Документальное оформление ЖД грузов",INDEX('ЖД грузы'!J:J,MATCH(A50,'ЖД грузы'!A:A,0)),""))))),"")</f>
        <v>Нет</v>
      </c>
      <c r="K50" s="10" t="s">
        <v>24</v>
      </c>
      <c r="L50" s="11" t="str">
        <f>IFERROR(IF(K50="Обработка судовых документов",INDEX('Судовые документы'!L:L,MATCH(A50,'Судовые документы'!A:A,0)),IF(K50="Оформление таможенных документов",INDEX('Таможенные документы'!L:L,MATCH(A50,'Таможенные документы'!A:A,0)),IF(K50="Оформление экспортных грузов",INDEX('Экспортные грузы'!L:L,MATCH(A50,'Экспортные грузы'!A:A,0)),IF(K50="Терминальные операции",INDEX(Терминал!L:L,MATCH(A50,Терминал!A:A,0)),IF(K50="Документальное оформление ЖД грузов",INDEX('ЖД грузы'!L:L,MATCH(A50,'ЖД грузы'!A:A,0)),""))))),"")</f>
        <v>Средний</v>
      </c>
      <c r="M50" s="7">
        <f>IFERROR(IF(K50="Обработка судовых документов",INDEX('Судовые документы'!K:K,MATCH(A50,'Судовые документы'!A:A,0)),IF(K50="Оформление таможенных документов",INDEX('Таможенные документы'!K:K,MATCH(A50,'Таможенные документы'!A:A,0)),IF(K50="Оформление экспортных грузов",INDEX('Экспортные грузы'!K:K,MATCH(A50,'Экспортные грузы'!A:A,0)),IF(K50="Терминальные операции",INDEX(Терминал!K:K,MATCH(A50,Терминал!A:A,0)),IF(K50="Документальное оформление ЖД грузов",INDEX('ЖД грузы'!K:K,MATCH(A50,'ЖД грузы'!A:A,0)),""))))),"")</f>
        <v>0</v>
      </c>
    </row>
    <row r="51" spans="1:13" ht="39.75" customHeight="1" x14ac:dyDescent="0.3">
      <c r="A51" s="12">
        <f>'ЖД грузы'!A15</f>
        <v>43</v>
      </c>
      <c r="B51" s="13" t="str">
        <f>'ЖД грузы'!B15</f>
        <v>4SC-RQ-CR-1014 #4079341</v>
      </c>
      <c r="C51" s="14" t="str">
        <f>'ЖД грузы'!C15</f>
        <v>ГУ-12 создать по образцу в ЛКК</v>
      </c>
      <c r="D51" s="15" t="str">
        <f>IFERROR(IF(K51="Обработка судовых документов",INDEX('Судовые документы'!D:D,MATCH(A51,'Судовые документы'!A:A,0)),IF(K51="Оформление таможенных документов",INDEX('Таможенные документы'!D:D,MATCH(A51,'Таможенные документы'!A:A,0)),IF(K51="Оформление экспортных грузов",INDEX('Экспортные грузы'!D:D,MATCH(A51,'Экспортные грузы'!A:A,0)),IF(K51="Терминальные операции",INDEX(Терминал!D:D,MATCH(A51,Терминал!A:A,0)),IF(K51="Документальное оформление ЖД грузов",INDEX('ЖД грузы'!D:D,MATCH(A51,'ЖД грузы'!A:A,0)),""))))),"")</f>
        <v>Добавить функцию «создать по образцу» при создании ГУ12 для нескольких отправок</v>
      </c>
      <c r="E51" s="16" t="str">
        <f>IFERROR(IF(K51="Обработка судовых документов",INDEX('Судовые документы'!E:E,MATCH(A51,'Судовые документы'!A:A,0)),IF(K51="Оформление таможенных документов",INDEX('Таможенные документы'!E:E,MATCH(A51,'Таможенные документы'!A:A,0)),IF(K51="Оформление экспортных грузов",INDEX('Экспортные грузы'!E:E,MATCH(A51,'Экспортные грузы'!A:A,0)),IF(K51="Терминальные операции",INDEX(Терминал!E:E,MATCH(A51,Терминал!A:A,0)),IF(K51="Документальное оформление ЖД грузов",INDEX('ЖД грузы'!E:E,MATCH(A51,'ЖД грузы'!A:A,0)),""))))),"")</f>
        <v>2026</v>
      </c>
      <c r="F51" s="15" t="str">
        <f>IFERROR(IF(K51="Обработка судовых документов",INDEX('Судовые документы'!F:F,MATCH(A51,'Судовые документы'!A:A,0)),IF(K51="Оформление таможенных документов",INDEX('Таможенные документы'!F:F,MATCH(A51,'Таможенные документы'!A:A,0)),IF(K51="Оформление экспортных грузов",INDEX('Экспортные грузы'!F:F,MATCH(A51,'Экспортные грузы'!A:A,0)),IF(K51="Терминальные операции",INDEX(Терминал!F:F,MATCH(A51,Терминал!A:A,0)),IF(K51="Документальное оформление ЖД грузов",INDEX('ЖД грузы'!F:F,MATCH(A51,'ЖД грузы'!A:A,0)),""))))),"")</f>
        <v>Аналитика</v>
      </c>
      <c r="G51" s="15" t="str">
        <f>IFERROR(IF(K51="Обработка судовых документов",INDEX('Судовые документы'!G:G,MATCH(A51,'Судовые документы'!A:A,0)),IF(K51="Оформление таможенных документов",INDEX('Таможенные документы'!G:G,MATCH(A51,'Таможенные документы'!A:A,0)),IF(K51="Оформление экспортных грузов",INDEX('Экспортные грузы'!G:G,MATCH(A51,'Экспортные грузы'!A:A,0)),IF(K51="Терминальные операции",INDEX(Терминал!G:G,MATCH(A51,Терминал!A:A,0)),IF(K51="Документальное оформление ЖД грузов",INDEX('ЖД грузы'!G:G,MATCH(A51,'ЖД грузы'!A:A,0)),""))))),"")</f>
        <v>Аналитика</v>
      </c>
      <c r="H51" s="17" t="str">
        <f>IFERROR(IF(K51="Обработка судовых документов",INDEX('Судовые документы'!H:H,MATCH(A51,'Судовые документы'!A:A,0)),IF(K51="Оформление таможенных документов",INDEX('Таможенные документы'!H:H,MATCH(A51,'Таможенные документы'!A:A,0)),IF(K51="Оформление экспортных грузов",INDEX('Экспортные грузы'!H:H,MATCH(A51,'Экспортные грузы'!A:A,0)),IF(K51="Терминальные операции",INDEX(Терминал!H:H,MATCH(A51,Терминал!A:A,0)),IF(K51="Документальное оформление ЖД грузов",INDEX('ЖД грузы'!H:H,MATCH(A51,'ЖД грузы'!A:A,0)),""))))),"")</f>
        <v>7.4.11</v>
      </c>
      <c r="I51" s="18">
        <f>IFERROR(IF(K51="Обработка судовых документов",INDEX('Судовые документы'!I:I,MATCH(A51,'Судовые документы'!A:A,0)),IF(K51="Оформление таможенных документов",INDEX('Таможенные документы'!I:I,MATCH(A51,'Таможенные документы'!A:A,0)),IF(K51="Оформление экспортных грузов",INDEX('Экспортные грузы'!I:I,MATCH(A51,'Экспортные грузы'!A:A,0)),IF(K51="Терминальные операции",INDEX(Терминал!I:I,MATCH(A51,Терминал!A:A,0)),IF(K51="Документальное оформление ЖД грузов",INDEX('ЖД грузы'!I:I,MATCH(A51,'ЖД грузы'!A:A,0)),""))))),"")</f>
        <v>0</v>
      </c>
      <c r="J51" s="16" t="str">
        <f>IFERROR(IF(K51="Обработка судовых документов",INDEX('Судовые документы'!J:J,MATCH(A51,'Судовые документы'!A:A,0)),IF(K51="Оформление таможенных документов",INDEX('Таможенные документы'!J:J,MATCH(A51,'Таможенные документы'!A:A,0)),IF(K51="Оформление экспортных грузов",INDEX('Экспортные грузы'!J:J,MATCH(A51,'Экспортные грузы'!A:A,0)),IF(K51="Терминальные операции",INDEX(Терминал!J:J,MATCH(A51,Терминал!A:A,0)),IF(K51="Документальное оформление ЖД грузов",INDEX('ЖД грузы'!J:J,MATCH(A51,'ЖД грузы'!A:A,0)),""))))),"")</f>
        <v>Нет</v>
      </c>
      <c r="K51" s="19" t="s">
        <v>24</v>
      </c>
      <c r="L51" s="20" t="str">
        <f>IFERROR(IF(K51="Обработка судовых документов",INDEX('Судовые документы'!L:L,MATCH(A51,'Судовые документы'!A:A,0)),IF(K51="Оформление таможенных документов",INDEX('Таможенные документы'!L:L,MATCH(A51,'Таможенные документы'!A:A,0)),IF(K51="Оформление экспортных грузов",INDEX('Экспортные грузы'!L:L,MATCH(A51,'Экспортные грузы'!A:A,0)),IF(K51="Терминальные операции",INDEX(Терминал!L:L,MATCH(A51,Терминал!A:A,0)),IF(K51="Документальное оформление ЖД грузов",INDEX('ЖД грузы'!L:L,MATCH(A51,'ЖД грузы'!A:A,0)),""))))),"")</f>
        <v>Средний</v>
      </c>
      <c r="M51" s="16">
        <f>IFERROR(IF(K51="Обработка судовых документов",INDEX('Судовые документы'!K:K,MATCH(A51,'Судовые документы'!A:A,0)),IF(K51="Оформление таможенных документов",INDEX('Таможенные документы'!K:K,MATCH(A51,'Таможенные документы'!A:A,0)),IF(K51="Оформление экспортных грузов",INDEX('Экспортные грузы'!K:K,MATCH(A51,'Экспортные грузы'!A:A,0)),IF(K51="Терминальные операции",INDEX(Терминал!K:K,MATCH(A51,Терминал!A:A,0)),IF(K51="Документальное оформление ЖД грузов",INDEX('ЖД грузы'!K:K,MATCH(A51,'ЖД грузы'!A:A,0)),""))))),"")</f>
        <v>0</v>
      </c>
    </row>
    <row r="52" spans="1:13" ht="24" customHeight="1" x14ac:dyDescent="0.3">
      <c r="A52" s="127" t="s">
        <v>25</v>
      </c>
      <c r="B52" s="128"/>
      <c r="C52" s="128"/>
      <c r="D52" s="128"/>
      <c r="E52" s="128"/>
      <c r="F52" s="128"/>
      <c r="G52" s="128"/>
      <c r="H52" s="129"/>
      <c r="I52" s="102">
        <f>SUM('Судовые документы'!I6:I12)+SUM('Таможенные документы'!I6:I10)+SUM('Экспортные грузы'!I6:I10)+SUM(Терминал!I6:I21)+SUM('ЖД грузы'!I6:I15)</f>
        <v>3231</v>
      </c>
      <c r="J52" s="21"/>
      <c r="K52" s="21"/>
      <c r="L52" s="21" t="str">
        <f>IFERROR(IF(K52="Обработка судовых документов",INDEX('Судовые документы'!L:L,MATCH(A52,'Судовые документы'!A:A,0)),IF(K52="Оформление таможенных документов",INDEX('Таможенные документы'!L:L,MATCH(A52,'Таможенные документы'!A:A,0)),IF(K52="Оформление экспортных грузов",INDEX('Экспортные грузы'!L:L,MATCH(A52,'Экспортные грузы'!A:A,0)),IF(K52="Терминальные операции",INDEX(Терминал!L:L,MATCH(A52,Терминал!A:A,0)),IF(K52="Документальное оформление ЖД грузов",INDEX('ЖД грузы'!L:L,MATCH(A52,'ЖД грузы'!A:A,0)),""))))),"")</f>
        <v/>
      </c>
      <c r="M52" s="21"/>
    </row>
  </sheetData>
  <sheetProtection algorithmName="SHA-512" hashValue="hT6i0hk5giw6TRLaKRPJZMajl9a7IMuMCxbJShzOKHbpGmN/xI/xjcsGDMsgxjezd6WKWnaqqYydlKZP1ta6dA==" saltValue="YpkI3Wrm47mHu6ypbemddA==" spinCount="100000" sheet="1" selectLockedCells="1" sort="0" autoFilter="0" selectUnlockedCells="1"/>
  <autoFilter ref="A3:M52" xr:uid="{00000000-0009-0000-0000-000001000000}"/>
  <mergeCells count="8">
    <mergeCell ref="A2:M2"/>
    <mergeCell ref="A4:M4"/>
    <mergeCell ref="A1:M1"/>
    <mergeCell ref="A52:H52"/>
    <mergeCell ref="A41:M41"/>
    <mergeCell ref="A18:M18"/>
    <mergeCell ref="A12:M12"/>
    <mergeCell ref="A24:M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66E"/>
  </sheetPr>
  <dimension ref="A1:L14"/>
  <sheetViews>
    <sheetView showGridLines="0" tabSelected="1" zoomScaleNormal="100" workbookViewId="0">
      <pane ySplit="5" topLeftCell="A6" activePane="bottomLeft" state="frozen"/>
      <selection pane="bottomLeft" activeCell="L10" sqref="L10"/>
    </sheetView>
  </sheetViews>
  <sheetFormatPr defaultColWidth="8.6640625" defaultRowHeight="14.4" x14ac:dyDescent="0.3"/>
  <cols>
    <col min="1" max="1" width="10.109375" bestFit="1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35" t="s">
        <v>58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1:12" ht="15.75" customHeight="1" x14ac:dyDescent="0.3">
      <c r="A2" s="133" t="s">
        <v>59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COUNTA(A6:A12)</f>
        <v>7</v>
      </c>
      <c r="B4" s="58">
        <f>COUNTIF(G6:G12,"Установлено")+COUNTIF(G6:G12,"Не СОЛВО")+COUNTIF(G6:G12,"Выполнено")</f>
        <v>2</v>
      </c>
      <c r="C4" s="59">
        <f>COUNTIF(G6:G12,"В работе")+COUNTIF(G6:G12,"Тестирование")+COUNTIF(G6:G12,"Разработка")+COUNTIF(G6:G12,"ОПЭ")+COUNTIF(G6:G12,"На приемке")</f>
        <v>3</v>
      </c>
      <c r="D4" s="108">
        <f>SUM(I6:I12)</f>
        <v>513</v>
      </c>
      <c r="E4" s="60">
        <f>IF(COUNTA(A6:A12)=0,0,(COUNTIF(G6:G12,"Установлено")+COUNTIF(G6:G12,"Не СОЛВО")+COUNTIF(G6:G12,"Выполнено"))/COUNTA(A6:A12))</f>
        <v>0.2857142857142857</v>
      </c>
      <c r="G4" s="23"/>
      <c r="H4" s="23"/>
      <c r="I4" s="23"/>
      <c r="J4" s="23"/>
      <c r="K4" s="23"/>
    </row>
    <row r="5" spans="1:12" ht="25.5" customHeight="1" x14ac:dyDescent="0.3">
      <c r="A5" s="83" t="s">
        <v>2</v>
      </c>
      <c r="B5" s="83" t="s">
        <v>3</v>
      </c>
      <c r="C5" s="83" t="s">
        <v>4</v>
      </c>
      <c r="D5" s="83" t="s">
        <v>5</v>
      </c>
      <c r="E5" s="83" t="s">
        <v>6</v>
      </c>
      <c r="F5" s="84" t="s">
        <v>7</v>
      </c>
      <c r="G5" s="84" t="s">
        <v>8</v>
      </c>
      <c r="H5" s="83" t="s">
        <v>9</v>
      </c>
      <c r="I5" s="83" t="s">
        <v>10</v>
      </c>
      <c r="J5" s="84" t="s">
        <v>11</v>
      </c>
      <c r="K5" s="83" t="s">
        <v>14</v>
      </c>
      <c r="L5" s="83" t="s">
        <v>13</v>
      </c>
    </row>
    <row r="6" spans="1:12" ht="37.5" customHeight="1" x14ac:dyDescent="0.3">
      <c r="A6" s="3">
        <v>1</v>
      </c>
      <c r="B6" s="61" t="s">
        <v>60</v>
      </c>
      <c r="C6" s="5" t="s">
        <v>61</v>
      </c>
      <c r="D6" s="62" t="s">
        <v>62</v>
      </c>
      <c r="E6" s="63" t="s">
        <v>63</v>
      </c>
      <c r="F6" s="93" t="s">
        <v>29</v>
      </c>
      <c r="G6" s="94" t="s">
        <v>42</v>
      </c>
      <c r="H6" s="8" t="s">
        <v>48</v>
      </c>
      <c r="I6" s="9">
        <v>235</v>
      </c>
      <c r="J6" s="64" t="s">
        <v>67</v>
      </c>
      <c r="K6" s="65"/>
      <c r="L6" s="81" t="s">
        <v>65</v>
      </c>
    </row>
    <row r="7" spans="1:12" ht="37.5" customHeight="1" x14ac:dyDescent="0.3">
      <c r="A7" s="12">
        <v>2</v>
      </c>
      <c r="B7" s="66">
        <v>3323631</v>
      </c>
      <c r="C7" s="14" t="s">
        <v>61</v>
      </c>
      <c r="D7" s="67" t="s">
        <v>66</v>
      </c>
      <c r="E7" s="68" t="s">
        <v>63</v>
      </c>
      <c r="F7" s="93" t="s">
        <v>52</v>
      </c>
      <c r="G7" s="94" t="s">
        <v>42</v>
      </c>
      <c r="H7" s="17" t="s">
        <v>48</v>
      </c>
      <c r="I7" s="18"/>
      <c r="J7" s="69" t="s">
        <v>64</v>
      </c>
      <c r="K7" s="70"/>
      <c r="L7" s="82" t="s">
        <v>65</v>
      </c>
    </row>
    <row r="8" spans="1:12" ht="37.5" customHeight="1" x14ac:dyDescent="0.3">
      <c r="A8" s="3">
        <v>3</v>
      </c>
      <c r="B8" s="61" t="s">
        <v>68</v>
      </c>
      <c r="C8" s="5" t="s">
        <v>69</v>
      </c>
      <c r="D8" s="62" t="s">
        <v>70</v>
      </c>
      <c r="E8" s="63" t="s">
        <v>40</v>
      </c>
      <c r="F8" s="95" t="s">
        <v>40</v>
      </c>
      <c r="G8" s="96" t="s">
        <v>38</v>
      </c>
      <c r="H8" s="8" t="s">
        <v>44</v>
      </c>
      <c r="I8" s="9">
        <v>144</v>
      </c>
      <c r="J8" s="64" t="s">
        <v>67</v>
      </c>
      <c r="K8" s="65"/>
      <c r="L8" s="81" t="s">
        <v>65</v>
      </c>
    </row>
    <row r="9" spans="1:12" ht="37.5" customHeight="1" x14ac:dyDescent="0.3">
      <c r="A9" s="12">
        <v>4</v>
      </c>
      <c r="B9" s="66" t="s">
        <v>71</v>
      </c>
      <c r="C9" s="14" t="s">
        <v>72</v>
      </c>
      <c r="D9" s="67" t="s">
        <v>73</v>
      </c>
      <c r="E9" s="68" t="s">
        <v>74</v>
      </c>
      <c r="F9" s="96" t="s">
        <v>28</v>
      </c>
      <c r="G9" s="97" t="s">
        <v>215</v>
      </c>
      <c r="H9" s="44" t="s">
        <v>41</v>
      </c>
      <c r="I9" s="18">
        <v>110</v>
      </c>
      <c r="J9" s="69" t="s">
        <v>67</v>
      </c>
      <c r="K9" s="70"/>
      <c r="L9" s="82" t="s">
        <v>65</v>
      </c>
    </row>
    <row r="10" spans="1:12" ht="37.5" customHeight="1" x14ac:dyDescent="0.3">
      <c r="A10" s="3">
        <v>5</v>
      </c>
      <c r="B10" s="61"/>
      <c r="C10" s="5" t="s">
        <v>75</v>
      </c>
      <c r="D10" s="62" t="s">
        <v>76</v>
      </c>
      <c r="E10" s="63" t="s">
        <v>74</v>
      </c>
      <c r="F10" s="96" t="s">
        <v>28</v>
      </c>
      <c r="G10" s="97" t="s">
        <v>55</v>
      </c>
      <c r="H10" s="8" t="s">
        <v>55</v>
      </c>
      <c r="I10" s="9"/>
      <c r="J10" s="64" t="s">
        <v>67</v>
      </c>
      <c r="K10" s="65"/>
      <c r="L10" s="81" t="s">
        <v>65</v>
      </c>
    </row>
    <row r="11" spans="1:12" ht="37.5" customHeight="1" x14ac:dyDescent="0.3">
      <c r="A11" s="12">
        <v>6</v>
      </c>
      <c r="B11" s="66" t="s">
        <v>77</v>
      </c>
      <c r="C11" s="14" t="s">
        <v>78</v>
      </c>
      <c r="D11" s="67" t="s">
        <v>79</v>
      </c>
      <c r="E11" s="68" t="s">
        <v>63</v>
      </c>
      <c r="F11" s="93" t="s">
        <v>29</v>
      </c>
      <c r="G11" s="93" t="s">
        <v>45</v>
      </c>
      <c r="H11" s="17" t="s">
        <v>48</v>
      </c>
      <c r="I11" s="18">
        <v>24</v>
      </c>
      <c r="J11" s="69" t="s">
        <v>67</v>
      </c>
      <c r="K11" s="70"/>
      <c r="L11" s="82" t="s">
        <v>65</v>
      </c>
    </row>
    <row r="12" spans="1:12" ht="37.5" customHeight="1" x14ac:dyDescent="0.3">
      <c r="A12" s="3">
        <v>7</v>
      </c>
      <c r="B12" s="61" t="s">
        <v>80</v>
      </c>
      <c r="C12" s="5" t="s">
        <v>81</v>
      </c>
      <c r="D12" s="62" t="s">
        <v>82</v>
      </c>
      <c r="E12" s="63">
        <v>2026</v>
      </c>
      <c r="F12" s="93" t="s">
        <v>29</v>
      </c>
      <c r="G12" s="98" t="s">
        <v>47</v>
      </c>
      <c r="H12" s="8" t="s">
        <v>51</v>
      </c>
      <c r="I12" s="9"/>
      <c r="J12" s="71" t="s">
        <v>64</v>
      </c>
      <c r="K12" s="65"/>
      <c r="L12" s="81" t="s">
        <v>65</v>
      </c>
    </row>
    <row r="13" spans="1:12" ht="24" customHeight="1" x14ac:dyDescent="0.3">
      <c r="A13" s="134" t="s">
        <v>84</v>
      </c>
      <c r="B13" s="128"/>
      <c r="C13" s="128"/>
      <c r="D13" s="128"/>
      <c r="E13" s="128"/>
      <c r="F13" s="128"/>
      <c r="G13" s="128"/>
      <c r="H13" s="129"/>
      <c r="I13" s="105">
        <f>SUM(I6:I12)</f>
        <v>513</v>
      </c>
      <c r="J13" s="85"/>
      <c r="K13" s="85"/>
    </row>
    <row r="14" spans="1:12" ht="15.7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</sheetData>
  <autoFilter ref="A5:L5" xr:uid="{00000000-0001-0000-0200-000000000000}"/>
  <mergeCells count="3">
    <mergeCell ref="A2:L2"/>
    <mergeCell ref="A13:H13"/>
    <mergeCell ref="A1:L1"/>
  </mergeCells>
  <conditionalFormatting sqref="F6:F1000">
    <cfRule type="cellIs" dxfId="79" priority="21" operator="equal">
      <formula>"Согласовано"</formula>
    </cfRule>
    <cfRule type="cellIs" dxfId="78" priority="22" operator="equal">
      <formula>"Закрыто"</formula>
    </cfRule>
    <cfRule type="cellIs" dxfId="77" priority="23" operator="equal">
      <formula>"В работе"</formula>
    </cfRule>
    <cfRule type="cellIs" dxfId="76" priority="24" operator="equal">
      <formula>"На согласовании"</formula>
    </cfRule>
  </conditionalFormatting>
  <conditionalFormatting sqref="F6:G1000">
    <cfRule type="cellIs" dxfId="75" priority="25" operator="equal">
      <formula>"Ошибка"</formula>
    </cfRule>
    <cfRule type="cellIs" dxfId="74" priority="26" operator="equal">
      <formula>"Отменено"</formula>
    </cfRule>
  </conditionalFormatting>
  <conditionalFormatting sqref="G6:G1000">
    <cfRule type="cellIs" dxfId="73" priority="27" operator="equal">
      <formula>"Установлено"</formula>
    </cfRule>
    <cfRule type="cellIs" dxfId="72" priority="28" operator="equal">
      <formula>"Разработка"</formula>
    </cfRule>
    <cfRule type="cellIs" dxfId="71" priority="29" operator="equal">
      <formula>"Тестирование"</formula>
    </cfRule>
    <cfRule type="cellIs" dxfId="70" priority="30" operator="equal">
      <formula>"На приемке"</formula>
    </cfRule>
    <cfRule type="cellIs" dxfId="69" priority="31" operator="equal">
      <formula>"ОПЭ"</formula>
    </cfRule>
  </conditionalFormatting>
  <conditionalFormatting sqref="J6:J12">
    <cfRule type="cellIs" dxfId="68" priority="1" operator="equal">
      <formula>"Нет"</formula>
    </cfRule>
    <cfRule type="cellIs" dxfId="67" priority="2" operator="equal">
      <formula>"Да"</formula>
    </cfRule>
  </conditionalFormatting>
  <conditionalFormatting sqref="L6:L1000">
    <cfRule type="cellIs" dxfId="66" priority="34" operator="equal">
      <formula>"Высокий"</formula>
    </cfRule>
    <cfRule type="cellIs" dxfId="65" priority="35" operator="equal">
      <formula>"Средний"</formula>
    </cfRule>
    <cfRule type="cellIs" dxfId="64" priority="36" operator="equal">
      <formula>"Низкий"</formula>
    </cfRule>
  </conditionalFormatting>
  <dataValidations count="1">
    <dataValidation type="list" sqref="J6:J500" xr:uid="{00000000-0002-0000-02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 r:id="rId1"/>
  <ignoredErrors>
    <ignoredError sqref="H8" twoDigitTextYear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2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2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3AED"/>
  </sheetPr>
  <dimension ref="A1:L12"/>
  <sheetViews>
    <sheetView showGridLines="0" zoomScaleNormal="100" workbookViewId="0">
      <pane ySplit="5" topLeftCell="A6" activePane="bottomLeft" state="frozen"/>
      <selection pane="bottomLeft" activeCell="H5" sqref="H5:H10"/>
    </sheetView>
  </sheetViews>
  <sheetFormatPr defaultColWidth="8.6640625" defaultRowHeight="14.4" x14ac:dyDescent="0.3"/>
  <cols>
    <col min="1" max="1" width="5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37" t="s">
        <v>85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1:12" ht="15.75" customHeight="1" x14ac:dyDescent="0.3">
      <c r="A2" s="133" t="s">
        <v>59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COUNTA(A6:A10)</f>
        <v>5</v>
      </c>
      <c r="B4" s="58">
        <f>COUNTIF(G6:G10,"Установлено")+COUNTIF(G6:G10,"Не СОЛВО")+COUNTIF(G6:G10,"Выполнено")</f>
        <v>1</v>
      </c>
      <c r="C4" s="59">
        <f>COUNTIF(G6:G10,"В работе")+COUNTIF(G6:G10,"Тестирование")+COUNTIF(G6:G10,"Разработка")+COUNTIF(G6:G10,"ОПЭ")+COUNTIF(G6:G10,"На приемке")</f>
        <v>0</v>
      </c>
      <c r="D4" s="108">
        <f>SUM(I6:I10)</f>
        <v>780</v>
      </c>
      <c r="E4" s="60">
        <f>IF(COUNTA(A6:A10)=0,0,(COUNTIF(G6:G10,"Установлено")+COUNTIF(G6:G10,"Не СОЛВО")+COUNTIF(G6:G10,"Выполнено"))/COUNTA(A6:A10))</f>
        <v>0.2</v>
      </c>
      <c r="G4" s="23"/>
      <c r="H4" s="23"/>
      <c r="I4" s="23"/>
      <c r="J4" s="23"/>
      <c r="K4" s="23"/>
    </row>
    <row r="5" spans="1:12" ht="25.5" customHeight="1" x14ac:dyDescent="0.3">
      <c r="A5" s="86" t="s">
        <v>2</v>
      </c>
      <c r="B5" s="86" t="s">
        <v>3</v>
      </c>
      <c r="C5" s="86" t="s">
        <v>4</v>
      </c>
      <c r="D5" s="86" t="s">
        <v>5</v>
      </c>
      <c r="E5" s="86" t="s">
        <v>6</v>
      </c>
      <c r="F5" s="86" t="s">
        <v>7</v>
      </c>
      <c r="G5" s="86" t="s">
        <v>8</v>
      </c>
      <c r="H5" s="86" t="s">
        <v>9</v>
      </c>
      <c r="I5" s="86" t="s">
        <v>10</v>
      </c>
      <c r="J5" s="86" t="s">
        <v>11</v>
      </c>
      <c r="K5" s="86" t="s">
        <v>14</v>
      </c>
      <c r="L5" s="86" t="s">
        <v>13</v>
      </c>
    </row>
    <row r="6" spans="1:12" ht="37.5" customHeight="1" x14ac:dyDescent="0.3">
      <c r="A6" s="3">
        <v>8</v>
      </c>
      <c r="B6" s="61" t="s">
        <v>86</v>
      </c>
      <c r="C6" s="5" t="s">
        <v>87</v>
      </c>
      <c r="D6" s="62" t="s">
        <v>88</v>
      </c>
      <c r="E6" s="63" t="s">
        <v>74</v>
      </c>
      <c r="F6" s="93" t="s">
        <v>29</v>
      </c>
      <c r="G6" s="96" t="s">
        <v>38</v>
      </c>
      <c r="H6" s="8" t="s">
        <v>39</v>
      </c>
      <c r="I6" s="9">
        <v>780</v>
      </c>
      <c r="J6" s="64" t="s">
        <v>67</v>
      </c>
      <c r="K6" s="65"/>
      <c r="L6" s="81" t="s">
        <v>65</v>
      </c>
    </row>
    <row r="7" spans="1:12" ht="37.5" customHeight="1" x14ac:dyDescent="0.3">
      <c r="A7" s="12">
        <v>9</v>
      </c>
      <c r="B7" s="66" t="s">
        <v>90</v>
      </c>
      <c r="C7" s="14" t="s">
        <v>91</v>
      </c>
      <c r="D7" s="67" t="s">
        <v>92</v>
      </c>
      <c r="E7" s="68" t="s">
        <v>83</v>
      </c>
      <c r="F7" s="93" t="s">
        <v>29</v>
      </c>
      <c r="G7" s="98" t="s">
        <v>47</v>
      </c>
      <c r="H7" s="17" t="s">
        <v>51</v>
      </c>
      <c r="I7" s="18"/>
      <c r="J7" s="64" t="s">
        <v>64</v>
      </c>
      <c r="K7" s="70"/>
      <c r="L7" s="81" t="s">
        <v>65</v>
      </c>
    </row>
    <row r="8" spans="1:12" ht="37.5" customHeight="1" x14ac:dyDescent="0.3">
      <c r="A8" s="3">
        <v>10</v>
      </c>
      <c r="B8" s="61" t="s">
        <v>93</v>
      </c>
      <c r="C8" s="5" t="s">
        <v>94</v>
      </c>
      <c r="D8" s="62" t="s">
        <v>95</v>
      </c>
      <c r="E8" s="63" t="s">
        <v>83</v>
      </c>
      <c r="F8" s="93" t="s">
        <v>29</v>
      </c>
      <c r="G8" s="98" t="s">
        <v>47</v>
      </c>
      <c r="H8" s="8" t="s">
        <v>51</v>
      </c>
      <c r="I8" s="9"/>
      <c r="J8" s="64" t="s">
        <v>64</v>
      </c>
      <c r="K8" s="65"/>
      <c r="L8" s="81" t="s">
        <v>65</v>
      </c>
    </row>
    <row r="9" spans="1:12" ht="37.5" customHeight="1" x14ac:dyDescent="0.3">
      <c r="A9" s="12">
        <v>11</v>
      </c>
      <c r="B9" s="66" t="s">
        <v>96</v>
      </c>
      <c r="C9" s="14" t="s">
        <v>97</v>
      </c>
      <c r="D9" s="67" t="s">
        <v>98</v>
      </c>
      <c r="E9" s="68" t="s">
        <v>83</v>
      </c>
      <c r="F9" s="93" t="s">
        <v>29</v>
      </c>
      <c r="G9" s="98" t="s">
        <v>47</v>
      </c>
      <c r="H9" s="17" t="s">
        <v>51</v>
      </c>
      <c r="I9" s="18"/>
      <c r="J9" s="64" t="s">
        <v>64</v>
      </c>
      <c r="K9" s="70"/>
      <c r="L9" s="81" t="s">
        <v>65</v>
      </c>
    </row>
    <row r="10" spans="1:12" ht="37.5" customHeight="1" x14ac:dyDescent="0.3">
      <c r="A10" s="3">
        <v>12</v>
      </c>
      <c r="B10" s="61"/>
      <c r="C10" s="5" t="s">
        <v>99</v>
      </c>
      <c r="D10" s="62" t="s">
        <v>100</v>
      </c>
      <c r="E10" s="63" t="s">
        <v>83</v>
      </c>
      <c r="F10" s="93" t="s">
        <v>29</v>
      </c>
      <c r="G10" s="98" t="s">
        <v>47</v>
      </c>
      <c r="H10" s="8" t="s">
        <v>51</v>
      </c>
      <c r="I10" s="9"/>
      <c r="J10" s="64" t="s">
        <v>64</v>
      </c>
      <c r="K10" s="65"/>
      <c r="L10" s="81" t="s">
        <v>65</v>
      </c>
    </row>
    <row r="11" spans="1:12" ht="24" customHeight="1" x14ac:dyDescent="0.3">
      <c r="A11" s="136" t="s">
        <v>84</v>
      </c>
      <c r="B11" s="128"/>
      <c r="C11" s="128"/>
      <c r="D11" s="128"/>
      <c r="E11" s="128"/>
      <c r="F11" s="128"/>
      <c r="G11" s="128"/>
      <c r="H11" s="129"/>
      <c r="I11" s="106">
        <f>SUM(I6:I10)</f>
        <v>780</v>
      </c>
      <c r="J11" s="87"/>
      <c r="K11" s="87"/>
    </row>
    <row r="12" spans="1:12" ht="15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</sheetData>
  <autoFilter ref="A5:L5" xr:uid="{00000000-0001-0000-0300-000000000000}"/>
  <mergeCells count="3">
    <mergeCell ref="A2:L2"/>
    <mergeCell ref="A11:H11"/>
    <mergeCell ref="A1:L1"/>
  </mergeCells>
  <conditionalFormatting sqref="F6:F1000">
    <cfRule type="cellIs" dxfId="63" priority="24" operator="equal">
      <formula>"Согласовано"</formula>
    </cfRule>
    <cfRule type="cellIs" dxfId="62" priority="25" operator="equal">
      <formula>"Закрыто"</formula>
    </cfRule>
    <cfRule type="cellIs" dxfId="61" priority="26" operator="equal">
      <formula>"В работе"</formula>
    </cfRule>
    <cfRule type="cellIs" dxfId="60" priority="27" operator="equal">
      <formula>"На согласовании"</formula>
    </cfRule>
  </conditionalFormatting>
  <conditionalFormatting sqref="F6:G1000">
    <cfRule type="cellIs" dxfId="59" priority="28" operator="equal">
      <formula>"Ошибка"</formula>
    </cfRule>
    <cfRule type="cellIs" dxfId="58" priority="29" operator="equal">
      <formula>"Отменено"</formula>
    </cfRule>
  </conditionalFormatting>
  <conditionalFormatting sqref="G6:G1000">
    <cfRule type="cellIs" dxfId="57" priority="30" operator="equal">
      <formula>"Установлено"</formula>
    </cfRule>
    <cfRule type="cellIs" dxfId="56" priority="31" operator="equal">
      <formula>"Разработка"</formula>
    </cfRule>
    <cfRule type="cellIs" dxfId="55" priority="32" operator="equal">
      <formula>"Тестирование"</formula>
    </cfRule>
    <cfRule type="cellIs" dxfId="54" priority="33" operator="equal">
      <formula>"На приемке"</formula>
    </cfRule>
    <cfRule type="cellIs" dxfId="53" priority="34" operator="equal">
      <formula>"ОПЭ"</formula>
    </cfRule>
  </conditionalFormatting>
  <conditionalFormatting sqref="J6:J10">
    <cfRule type="cellIs" dxfId="52" priority="1" operator="equal">
      <formula>"Нет"</formula>
    </cfRule>
    <cfRule type="cellIs" dxfId="51" priority="2" operator="equal">
      <formula>"Да"</formula>
    </cfRule>
  </conditionalFormatting>
  <conditionalFormatting sqref="L6:L1000">
    <cfRule type="cellIs" dxfId="50" priority="3" operator="equal">
      <formula>"Высокий"</formula>
    </cfRule>
    <cfRule type="cellIs" dxfId="49" priority="4" operator="equal">
      <formula>"Средний"</formula>
    </cfRule>
    <cfRule type="cellIs" dxfId="48" priority="5" operator="equal">
      <formula>"Низкий"</formula>
    </cfRule>
  </conditionalFormatting>
  <dataValidations count="1">
    <dataValidation type="list" sqref="J6:J500" xr:uid="{00000000-0002-0000-03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3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3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A34A"/>
  </sheetPr>
  <dimension ref="A1:L12"/>
  <sheetViews>
    <sheetView showGridLines="0" zoomScaleNormal="100" workbookViewId="0">
      <pane ySplit="5" topLeftCell="A6" activePane="bottomLeft" state="frozen"/>
      <selection pane="bottomLeft" activeCell="E16" sqref="E16"/>
    </sheetView>
  </sheetViews>
  <sheetFormatPr defaultColWidth="8.6640625" defaultRowHeight="14.4" x14ac:dyDescent="0.3"/>
  <cols>
    <col min="1" max="1" width="5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35" t="s">
        <v>101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1:12" ht="15.75" customHeight="1" x14ac:dyDescent="0.3">
      <c r="A2" s="133" t="s">
        <v>59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COUNTA(A6:A10)</f>
        <v>5</v>
      </c>
      <c r="B4" s="58">
        <f>COUNTIF(G6:G10,"Установлено")+COUNTIF(G6:G10,"Не СОЛВО")+COUNTIF(G6:G10,"Выполнено")</f>
        <v>2</v>
      </c>
      <c r="C4" s="59">
        <f>COUNTIF(G6:G10,"В работе")+COUNTIF(G6:G10,"Тестирование")+COUNTIF(G6:G10,"Разработка")+COUNTIF(G6:G10,"ОПЭ")+COUNTIF(G6:G10,"На приемке")</f>
        <v>1</v>
      </c>
      <c r="D4" s="108">
        <f>SUM(I6:I10)</f>
        <v>532</v>
      </c>
      <c r="E4" s="60">
        <f>IF(COUNTA(A6:A10)=0,0,(COUNTIF(G6:G10,"Установлено")+COUNTIF(G6:G10,"Не СОЛВО")+COUNTIF(G6:G10,"Выполнено"))/COUNTA(A6:A10))</f>
        <v>0.4</v>
      </c>
      <c r="G4" s="23"/>
      <c r="H4" s="23"/>
      <c r="I4" s="23"/>
      <c r="J4" s="23"/>
      <c r="K4" s="23"/>
    </row>
    <row r="5" spans="1:12" ht="25.5" customHeight="1" x14ac:dyDescent="0.3">
      <c r="A5" s="83" t="s">
        <v>2</v>
      </c>
      <c r="B5" s="83" t="s">
        <v>3</v>
      </c>
      <c r="C5" s="83" t="s">
        <v>4</v>
      </c>
      <c r="D5" s="83" t="s">
        <v>5</v>
      </c>
      <c r="E5" s="83" t="s">
        <v>6</v>
      </c>
      <c r="F5" s="83" t="s">
        <v>7</v>
      </c>
      <c r="G5" s="83" t="s">
        <v>8</v>
      </c>
      <c r="H5" s="83" t="s">
        <v>9</v>
      </c>
      <c r="I5" s="83" t="s">
        <v>10</v>
      </c>
      <c r="J5" s="83" t="s">
        <v>11</v>
      </c>
      <c r="K5" s="83" t="s">
        <v>14</v>
      </c>
      <c r="L5" s="83" t="s">
        <v>13</v>
      </c>
    </row>
    <row r="6" spans="1:12" ht="37.5" customHeight="1" x14ac:dyDescent="0.3">
      <c r="A6" s="3">
        <v>13</v>
      </c>
      <c r="B6" s="61" t="s">
        <v>209</v>
      </c>
      <c r="C6" s="5" t="s">
        <v>102</v>
      </c>
      <c r="D6" s="62" t="s">
        <v>103</v>
      </c>
      <c r="E6" s="63" t="s">
        <v>63</v>
      </c>
      <c r="F6" s="95" t="s">
        <v>40</v>
      </c>
      <c r="G6" s="98" t="s">
        <v>47</v>
      </c>
      <c r="H6" s="8" t="s">
        <v>48</v>
      </c>
      <c r="I6" s="9"/>
      <c r="J6" s="64" t="s">
        <v>64</v>
      </c>
      <c r="K6" s="65"/>
      <c r="L6" s="81" t="s">
        <v>65</v>
      </c>
    </row>
    <row r="7" spans="1:12" ht="37.5" customHeight="1" x14ac:dyDescent="0.3">
      <c r="A7" s="12">
        <v>14</v>
      </c>
      <c r="B7" s="66" t="s">
        <v>104</v>
      </c>
      <c r="C7" s="14" t="s">
        <v>105</v>
      </c>
      <c r="D7" s="67" t="s">
        <v>106</v>
      </c>
      <c r="E7" s="68" t="s">
        <v>63</v>
      </c>
      <c r="F7" s="93" t="s">
        <v>29</v>
      </c>
      <c r="G7" s="94" t="s">
        <v>42</v>
      </c>
      <c r="H7" s="17" t="s">
        <v>48</v>
      </c>
      <c r="I7" s="18">
        <v>340</v>
      </c>
      <c r="J7" s="64" t="s">
        <v>67</v>
      </c>
      <c r="K7" s="70"/>
      <c r="L7" s="81" t="s">
        <v>65</v>
      </c>
    </row>
    <row r="8" spans="1:12" ht="37.5" customHeight="1" x14ac:dyDescent="0.3">
      <c r="A8" s="3">
        <v>15</v>
      </c>
      <c r="B8" s="61" t="s">
        <v>107</v>
      </c>
      <c r="C8" s="5" t="s">
        <v>108</v>
      </c>
      <c r="D8" s="62" t="s">
        <v>109</v>
      </c>
      <c r="E8" s="63" t="s">
        <v>74</v>
      </c>
      <c r="F8" s="96" t="s">
        <v>28</v>
      </c>
      <c r="G8" s="96" t="s">
        <v>38</v>
      </c>
      <c r="H8" s="8" t="s">
        <v>44</v>
      </c>
      <c r="I8" s="9"/>
      <c r="J8" s="64" t="s">
        <v>64</v>
      </c>
      <c r="K8" s="65"/>
      <c r="L8" s="81" t="s">
        <v>65</v>
      </c>
    </row>
    <row r="9" spans="1:12" ht="37.5" customHeight="1" x14ac:dyDescent="0.3">
      <c r="A9" s="12">
        <v>16</v>
      </c>
      <c r="B9" s="66" t="s">
        <v>110</v>
      </c>
      <c r="C9" s="14" t="s">
        <v>111</v>
      </c>
      <c r="D9" s="67" t="s">
        <v>112</v>
      </c>
      <c r="E9" s="68" t="s">
        <v>63</v>
      </c>
      <c r="F9" s="94" t="s">
        <v>42</v>
      </c>
      <c r="G9" s="96" t="s">
        <v>38</v>
      </c>
      <c r="H9" s="17" t="s">
        <v>46</v>
      </c>
      <c r="I9" s="18">
        <v>192</v>
      </c>
      <c r="J9" s="64" t="s">
        <v>67</v>
      </c>
      <c r="K9" s="70"/>
      <c r="L9" s="81" t="s">
        <v>65</v>
      </c>
    </row>
    <row r="10" spans="1:12" ht="37.5" customHeight="1" x14ac:dyDescent="0.3">
      <c r="A10" s="3">
        <v>17</v>
      </c>
      <c r="B10" s="61" t="s">
        <v>210</v>
      </c>
      <c r="C10" s="5" t="s">
        <v>113</v>
      </c>
      <c r="D10" s="62" t="s">
        <v>114</v>
      </c>
      <c r="E10" s="63" t="s">
        <v>83</v>
      </c>
      <c r="F10" s="97" t="s">
        <v>52</v>
      </c>
      <c r="G10" s="97" t="s">
        <v>52</v>
      </c>
      <c r="H10" s="8" t="s">
        <v>51</v>
      </c>
      <c r="I10" s="9"/>
      <c r="J10" s="64" t="s">
        <v>64</v>
      </c>
      <c r="K10" s="65"/>
      <c r="L10" s="81" t="s">
        <v>65</v>
      </c>
    </row>
    <row r="11" spans="1:12" ht="24" customHeight="1" x14ac:dyDescent="0.3">
      <c r="A11" s="134" t="s">
        <v>84</v>
      </c>
      <c r="B11" s="128"/>
      <c r="C11" s="128"/>
      <c r="D11" s="128"/>
      <c r="E11" s="128"/>
      <c r="F11" s="128"/>
      <c r="G11" s="128"/>
      <c r="H11" s="129"/>
      <c r="I11" s="105">
        <f>SUM(I6:I10)</f>
        <v>532</v>
      </c>
      <c r="J11" s="85"/>
      <c r="K11" s="85"/>
    </row>
    <row r="12" spans="1:12" ht="15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</sheetData>
  <autoFilter ref="A5:L5" xr:uid="{00000000-0001-0000-0400-000000000000}"/>
  <mergeCells count="3">
    <mergeCell ref="A2:L2"/>
    <mergeCell ref="A11:H11"/>
    <mergeCell ref="A1:L1"/>
  </mergeCells>
  <conditionalFormatting sqref="F6:F1000">
    <cfRule type="cellIs" dxfId="47" priority="24" operator="equal">
      <formula>"Согласовано"</formula>
    </cfRule>
    <cfRule type="cellIs" dxfId="46" priority="25" operator="equal">
      <formula>"Закрыто"</formula>
    </cfRule>
    <cfRule type="cellIs" dxfId="45" priority="26" operator="equal">
      <formula>"В работе"</formula>
    </cfRule>
    <cfRule type="cellIs" dxfId="44" priority="27" operator="equal">
      <formula>"На согласовании"</formula>
    </cfRule>
  </conditionalFormatting>
  <conditionalFormatting sqref="F6:G1000">
    <cfRule type="cellIs" dxfId="43" priority="28" operator="equal">
      <formula>"Ошибка"</formula>
    </cfRule>
    <cfRule type="cellIs" dxfId="42" priority="29" operator="equal">
      <formula>"Отменено"</formula>
    </cfRule>
  </conditionalFormatting>
  <conditionalFormatting sqref="G6:G1000">
    <cfRule type="cellIs" dxfId="41" priority="30" operator="equal">
      <formula>"Установлено"</formula>
    </cfRule>
    <cfRule type="cellIs" dxfId="40" priority="31" operator="equal">
      <formula>"Разработка"</formula>
    </cfRule>
    <cfRule type="cellIs" dxfId="39" priority="32" operator="equal">
      <formula>"Тестирование"</formula>
    </cfRule>
    <cfRule type="cellIs" dxfId="38" priority="33" operator="equal">
      <formula>"На приемке"</formula>
    </cfRule>
    <cfRule type="cellIs" dxfId="37" priority="34" operator="equal">
      <formula>"ОПЭ"</formula>
    </cfRule>
  </conditionalFormatting>
  <conditionalFormatting sqref="J6:J10">
    <cfRule type="cellIs" dxfId="36" priority="1" operator="equal">
      <formula>"Нет"</formula>
    </cfRule>
    <cfRule type="cellIs" dxfId="35" priority="2" operator="equal">
      <formula>"Да"</formula>
    </cfRule>
  </conditionalFormatting>
  <conditionalFormatting sqref="L6:L1000">
    <cfRule type="cellIs" dxfId="34" priority="3" operator="equal">
      <formula>"Высокий"</formula>
    </cfRule>
    <cfRule type="cellIs" dxfId="33" priority="4" operator="equal">
      <formula>"Средний"</formula>
    </cfRule>
    <cfRule type="cellIs" dxfId="32" priority="5" operator="equal">
      <formula>"Низкий"</formula>
    </cfRule>
  </conditionalFormatting>
  <dataValidations count="1">
    <dataValidation type="list" sqref="J6:J500" xr:uid="{00000000-0002-0000-04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4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4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7706"/>
  </sheetPr>
  <dimension ref="A1:L23"/>
  <sheetViews>
    <sheetView showGridLines="0" zoomScaleNormal="100" workbookViewId="0">
      <pane ySplit="5" topLeftCell="A12" activePane="bottomLeft" state="frozen"/>
      <selection pane="bottomLeft" activeCell="E11" sqref="E11"/>
    </sheetView>
  </sheetViews>
  <sheetFormatPr defaultColWidth="8.6640625" defaultRowHeight="14.4" x14ac:dyDescent="0.3"/>
  <cols>
    <col min="1" max="1" width="10.109375" bestFit="1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38" t="s">
        <v>115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1:12" ht="15.75" customHeight="1" x14ac:dyDescent="0.3">
      <c r="A2" s="133" t="s">
        <v>59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COUNTA(A6:A21)</f>
        <v>16</v>
      </c>
      <c r="B4" s="58">
        <f>COUNTIF(G6:G21,"Установлено")+COUNTIF(G6:G21,"Не СОЛВО")+COUNTIF(G6:G21,"Выполнено")</f>
        <v>8</v>
      </c>
      <c r="C4" s="59">
        <f>COUNTIF(G6:G21,"В работе")+COUNTIF(G6:G21,"Тестирование")+COUNTIF(G6:G21,"Разработка")+COUNTIF(G6:G21,"ОПЭ")+COUNTIF(G6:G21,"На приемке")</f>
        <v>2</v>
      </c>
      <c r="D4" s="108">
        <f>SUM(I6:I21)</f>
        <v>1231</v>
      </c>
      <c r="E4" s="60">
        <f>IF(COUNTA(A6:A21)=0,0,(COUNTIF(G6:G21,"Установлено")+COUNTIF(G6:G21,"Не СОЛВО")+COUNTIF(G6:G21,"Выполнено"))/COUNTA(A6:A21))</f>
        <v>0.5</v>
      </c>
      <c r="G4" s="23"/>
      <c r="H4" s="23"/>
      <c r="I4" s="23"/>
      <c r="J4" s="23"/>
      <c r="K4" s="23"/>
    </row>
    <row r="5" spans="1:12" ht="25.5" customHeight="1" x14ac:dyDescent="0.3">
      <c r="A5" s="88" t="s">
        <v>2</v>
      </c>
      <c r="B5" s="88" t="s">
        <v>3</v>
      </c>
      <c r="C5" s="88" t="s">
        <v>4</v>
      </c>
      <c r="D5" s="88" t="s">
        <v>5</v>
      </c>
      <c r="E5" s="88" t="s">
        <v>6</v>
      </c>
      <c r="F5" s="88" t="s">
        <v>7</v>
      </c>
      <c r="G5" s="88" t="s">
        <v>8</v>
      </c>
      <c r="H5" s="88" t="s">
        <v>9</v>
      </c>
      <c r="I5" s="88" t="s">
        <v>10</v>
      </c>
      <c r="J5" s="88" t="s">
        <v>11</v>
      </c>
      <c r="K5" s="88" t="s">
        <v>14</v>
      </c>
      <c r="L5" s="88" t="s">
        <v>13</v>
      </c>
    </row>
    <row r="6" spans="1:12" ht="37.5" customHeight="1" x14ac:dyDescent="0.3">
      <c r="A6" s="3">
        <v>18</v>
      </c>
      <c r="B6" s="61" t="s">
        <v>116</v>
      </c>
      <c r="C6" s="5" t="s">
        <v>117</v>
      </c>
      <c r="D6" s="62" t="s">
        <v>118</v>
      </c>
      <c r="E6" s="63" t="s">
        <v>83</v>
      </c>
      <c r="F6" s="93" t="s">
        <v>29</v>
      </c>
      <c r="G6" s="97" t="s">
        <v>50</v>
      </c>
      <c r="H6" s="8" t="s">
        <v>213</v>
      </c>
      <c r="I6" s="9"/>
      <c r="J6" s="64" t="s">
        <v>64</v>
      </c>
      <c r="K6" s="65"/>
      <c r="L6" s="81" t="s">
        <v>65</v>
      </c>
    </row>
    <row r="7" spans="1:12" ht="37.5" customHeight="1" x14ac:dyDescent="0.3">
      <c r="A7" s="12">
        <v>19</v>
      </c>
      <c r="B7" s="66" t="s">
        <v>119</v>
      </c>
      <c r="C7" s="14" t="s">
        <v>120</v>
      </c>
      <c r="D7" s="67" t="s">
        <v>121</v>
      </c>
      <c r="E7" s="68" t="s">
        <v>74</v>
      </c>
      <c r="F7" s="96" t="s">
        <v>28</v>
      </c>
      <c r="G7" s="96" t="s">
        <v>202</v>
      </c>
      <c r="H7" s="17" t="s">
        <v>44</v>
      </c>
      <c r="I7" s="18">
        <v>70</v>
      </c>
      <c r="J7" s="64" t="s">
        <v>67</v>
      </c>
      <c r="K7" s="70"/>
      <c r="L7" s="81" t="s">
        <v>65</v>
      </c>
    </row>
    <row r="8" spans="1:12" ht="37.5" customHeight="1" x14ac:dyDescent="0.3">
      <c r="A8" s="3">
        <v>20</v>
      </c>
      <c r="B8" s="61" t="s">
        <v>122</v>
      </c>
      <c r="C8" s="5" t="s">
        <v>123</v>
      </c>
      <c r="D8" s="62" t="s">
        <v>124</v>
      </c>
      <c r="E8" s="63" t="s">
        <v>40</v>
      </c>
      <c r="F8" s="95" t="s">
        <v>40</v>
      </c>
      <c r="G8" s="96" t="s">
        <v>38</v>
      </c>
      <c r="H8" s="8" t="s">
        <v>46</v>
      </c>
      <c r="I8" s="9">
        <v>96</v>
      </c>
      <c r="J8" s="64" t="s">
        <v>67</v>
      </c>
      <c r="K8" s="65"/>
      <c r="L8" s="81" t="s">
        <v>65</v>
      </c>
    </row>
    <row r="9" spans="1:12" ht="37.5" customHeight="1" x14ac:dyDescent="0.3">
      <c r="A9" s="12">
        <v>21</v>
      </c>
      <c r="B9" s="66" t="s">
        <v>125</v>
      </c>
      <c r="C9" s="14" t="s">
        <v>126</v>
      </c>
      <c r="D9" s="67" t="s">
        <v>127</v>
      </c>
      <c r="E9" s="68" t="s">
        <v>83</v>
      </c>
      <c r="F9" s="93" t="s">
        <v>29</v>
      </c>
      <c r="G9" s="99" t="s">
        <v>49</v>
      </c>
      <c r="H9" s="17" t="s">
        <v>51</v>
      </c>
      <c r="I9" s="18">
        <v>320</v>
      </c>
      <c r="J9" s="64" t="s">
        <v>67</v>
      </c>
      <c r="K9" s="70"/>
      <c r="L9" s="81" t="s">
        <v>65</v>
      </c>
    </row>
    <row r="10" spans="1:12" ht="37.5" customHeight="1" x14ac:dyDescent="0.3">
      <c r="A10" s="3">
        <v>22</v>
      </c>
      <c r="B10" s="61" t="s">
        <v>128</v>
      </c>
      <c r="C10" s="5" t="s">
        <v>129</v>
      </c>
      <c r="D10" s="62" t="s">
        <v>130</v>
      </c>
      <c r="E10" s="63" t="s">
        <v>40</v>
      </c>
      <c r="F10" s="95" t="s">
        <v>40</v>
      </c>
      <c r="G10" s="96" t="s">
        <v>38</v>
      </c>
      <c r="H10" s="8" t="s">
        <v>46</v>
      </c>
      <c r="I10" s="9">
        <v>23</v>
      </c>
      <c r="J10" s="64" t="s">
        <v>67</v>
      </c>
      <c r="K10" s="65"/>
      <c r="L10" s="81" t="s">
        <v>65</v>
      </c>
    </row>
    <row r="11" spans="1:12" ht="37.5" customHeight="1" x14ac:dyDescent="0.3">
      <c r="A11" s="12">
        <v>23</v>
      </c>
      <c r="B11" s="66" t="s">
        <v>131</v>
      </c>
      <c r="C11" s="14" t="s">
        <v>132</v>
      </c>
      <c r="D11" s="67" t="s">
        <v>133</v>
      </c>
      <c r="E11" s="68" t="s">
        <v>74</v>
      </c>
      <c r="F11" s="96" t="s">
        <v>28</v>
      </c>
      <c r="G11" s="96" t="s">
        <v>38</v>
      </c>
      <c r="H11" s="17" t="s">
        <v>43</v>
      </c>
      <c r="I11" s="18">
        <v>60</v>
      </c>
      <c r="J11" s="64" t="s">
        <v>67</v>
      </c>
      <c r="K11" s="70"/>
      <c r="L11" s="81" t="s">
        <v>65</v>
      </c>
    </row>
    <row r="12" spans="1:12" ht="37.5" customHeight="1" x14ac:dyDescent="0.3">
      <c r="A12" s="3">
        <v>24</v>
      </c>
      <c r="B12" s="61" t="s">
        <v>131</v>
      </c>
      <c r="C12" s="5" t="s">
        <v>134</v>
      </c>
      <c r="D12" s="62" t="s">
        <v>135</v>
      </c>
      <c r="E12" s="63" t="s">
        <v>74</v>
      </c>
      <c r="F12" s="96" t="s">
        <v>28</v>
      </c>
      <c r="G12" s="96" t="s">
        <v>38</v>
      </c>
      <c r="H12" s="8" t="s">
        <v>43</v>
      </c>
      <c r="I12" s="9">
        <v>20</v>
      </c>
      <c r="J12" s="64" t="s">
        <v>67</v>
      </c>
      <c r="K12" s="65"/>
      <c r="L12" s="81" t="s">
        <v>65</v>
      </c>
    </row>
    <row r="13" spans="1:12" ht="37.5" customHeight="1" x14ac:dyDescent="0.3">
      <c r="A13" s="12">
        <v>25</v>
      </c>
      <c r="B13" s="66" t="s">
        <v>136</v>
      </c>
      <c r="C13" s="14" t="s">
        <v>137</v>
      </c>
      <c r="D13" s="67" t="s">
        <v>138</v>
      </c>
      <c r="E13" s="68" t="s">
        <v>83</v>
      </c>
      <c r="F13" s="93" t="s">
        <v>29</v>
      </c>
      <c r="G13" s="97" t="s">
        <v>50</v>
      </c>
      <c r="H13" s="17" t="s">
        <v>213</v>
      </c>
      <c r="I13" s="18"/>
      <c r="J13" s="64" t="s">
        <v>64</v>
      </c>
      <c r="K13" s="70"/>
      <c r="L13" s="81" t="s">
        <v>65</v>
      </c>
    </row>
    <row r="14" spans="1:12" ht="37.5" customHeight="1" x14ac:dyDescent="0.3">
      <c r="A14" s="3">
        <v>26</v>
      </c>
      <c r="B14" s="61" t="s">
        <v>139</v>
      </c>
      <c r="C14" s="5" t="s">
        <v>140</v>
      </c>
      <c r="D14" s="62" t="s">
        <v>141</v>
      </c>
      <c r="E14" s="63" t="s">
        <v>74</v>
      </c>
      <c r="F14" s="96" t="s">
        <v>28</v>
      </c>
      <c r="G14" s="97" t="s">
        <v>55</v>
      </c>
      <c r="H14" s="8" t="s">
        <v>55</v>
      </c>
      <c r="I14" s="9"/>
      <c r="J14" s="64" t="s">
        <v>67</v>
      </c>
      <c r="K14" s="65"/>
      <c r="L14" s="81" t="s">
        <v>65</v>
      </c>
    </row>
    <row r="15" spans="1:12" ht="37.5" customHeight="1" x14ac:dyDescent="0.3">
      <c r="A15" s="12">
        <v>27</v>
      </c>
      <c r="B15" s="66" t="s">
        <v>142</v>
      </c>
      <c r="C15" s="14" t="s">
        <v>143</v>
      </c>
      <c r="D15" s="67" t="s">
        <v>144</v>
      </c>
      <c r="E15" s="68" t="s">
        <v>40</v>
      </c>
      <c r="F15" s="95" t="s">
        <v>40</v>
      </c>
      <c r="G15" s="96" t="s">
        <v>38</v>
      </c>
      <c r="H15" s="17" t="s">
        <v>43</v>
      </c>
      <c r="I15" s="18">
        <v>140</v>
      </c>
      <c r="J15" s="64" t="s">
        <v>67</v>
      </c>
      <c r="K15" s="70"/>
      <c r="L15" s="81" t="s">
        <v>65</v>
      </c>
    </row>
    <row r="16" spans="1:12" ht="37.5" customHeight="1" x14ac:dyDescent="0.3">
      <c r="A16" s="3">
        <v>28</v>
      </c>
      <c r="B16" s="61" t="s">
        <v>142</v>
      </c>
      <c r="C16" s="5" t="s">
        <v>145</v>
      </c>
      <c r="D16" s="62" t="s">
        <v>146</v>
      </c>
      <c r="E16" s="63" t="s">
        <v>40</v>
      </c>
      <c r="F16" s="95" t="s">
        <v>40</v>
      </c>
      <c r="G16" s="96" t="s">
        <v>38</v>
      </c>
      <c r="H16" s="8" t="s">
        <v>41</v>
      </c>
      <c r="I16" s="9"/>
      <c r="J16" s="64" t="s">
        <v>64</v>
      </c>
      <c r="K16" s="65"/>
      <c r="L16" s="81" t="s">
        <v>65</v>
      </c>
    </row>
    <row r="17" spans="1:12" ht="37.5" customHeight="1" x14ac:dyDescent="0.3">
      <c r="A17" s="12">
        <v>29</v>
      </c>
      <c r="B17" s="66" t="s">
        <v>211</v>
      </c>
      <c r="C17" s="14" t="s">
        <v>147</v>
      </c>
      <c r="D17" s="67" t="s">
        <v>148</v>
      </c>
      <c r="E17" s="68" t="s">
        <v>83</v>
      </c>
      <c r="F17" s="93" t="s">
        <v>29</v>
      </c>
      <c r="G17" s="94" t="s">
        <v>42</v>
      </c>
      <c r="H17" s="17" t="s">
        <v>48</v>
      </c>
      <c r="I17" s="18">
        <v>8</v>
      </c>
      <c r="J17" s="64" t="s">
        <v>67</v>
      </c>
      <c r="K17" s="70"/>
      <c r="L17" s="81" t="s">
        <v>65</v>
      </c>
    </row>
    <row r="18" spans="1:12" ht="37.5" customHeight="1" x14ac:dyDescent="0.3">
      <c r="A18" s="3">
        <v>30</v>
      </c>
      <c r="B18" s="61" t="s">
        <v>149</v>
      </c>
      <c r="C18" s="5" t="s">
        <v>150</v>
      </c>
      <c r="D18" s="62" t="s">
        <v>151</v>
      </c>
      <c r="E18" s="63" t="s">
        <v>40</v>
      </c>
      <c r="F18" s="95" t="s">
        <v>40</v>
      </c>
      <c r="G18" s="96" t="s">
        <v>38</v>
      </c>
      <c r="H18" s="8" t="s">
        <v>46</v>
      </c>
      <c r="I18" s="9">
        <v>130</v>
      </c>
      <c r="J18" s="64" t="s">
        <v>67</v>
      </c>
      <c r="K18" s="65"/>
      <c r="L18" s="81" t="s">
        <v>65</v>
      </c>
    </row>
    <row r="19" spans="1:12" ht="37.5" customHeight="1" x14ac:dyDescent="0.3">
      <c r="A19" s="12">
        <v>31</v>
      </c>
      <c r="B19" s="66" t="s">
        <v>152</v>
      </c>
      <c r="C19" s="14" t="s">
        <v>153</v>
      </c>
      <c r="D19" s="67" t="s">
        <v>154</v>
      </c>
      <c r="E19" s="68" t="s">
        <v>83</v>
      </c>
      <c r="F19" s="93" t="s">
        <v>29</v>
      </c>
      <c r="G19" s="98" t="s">
        <v>47</v>
      </c>
      <c r="H19" s="17" t="s">
        <v>51</v>
      </c>
      <c r="I19" s="18"/>
      <c r="J19" s="64" t="s">
        <v>64</v>
      </c>
      <c r="K19" s="70"/>
      <c r="L19" s="81" t="s">
        <v>65</v>
      </c>
    </row>
    <row r="20" spans="1:12" ht="37.5" customHeight="1" x14ac:dyDescent="0.3">
      <c r="A20" s="3">
        <v>32</v>
      </c>
      <c r="B20" s="61" t="s">
        <v>212</v>
      </c>
      <c r="C20" s="5" t="s">
        <v>156</v>
      </c>
      <c r="D20" s="62" t="s">
        <v>157</v>
      </c>
      <c r="E20" s="63" t="s">
        <v>83</v>
      </c>
      <c r="F20" s="93" t="s">
        <v>29</v>
      </c>
      <c r="G20" s="94" t="s">
        <v>42</v>
      </c>
      <c r="H20" s="8" t="s">
        <v>48</v>
      </c>
      <c r="I20" s="9">
        <v>110</v>
      </c>
      <c r="J20" s="64" t="s">
        <v>67</v>
      </c>
      <c r="K20" s="65"/>
      <c r="L20" s="81" t="s">
        <v>65</v>
      </c>
    </row>
    <row r="21" spans="1:12" ht="37.5" customHeight="1" x14ac:dyDescent="0.3">
      <c r="A21" s="12">
        <v>33</v>
      </c>
      <c r="B21" s="66" t="s">
        <v>158</v>
      </c>
      <c r="C21" s="14" t="s">
        <v>159</v>
      </c>
      <c r="D21" s="67" t="s">
        <v>160</v>
      </c>
      <c r="E21" s="68" t="s">
        <v>83</v>
      </c>
      <c r="F21" s="93" t="s">
        <v>29</v>
      </c>
      <c r="G21" s="99" t="s">
        <v>49</v>
      </c>
      <c r="H21" s="17" t="s">
        <v>51</v>
      </c>
      <c r="I21" s="18">
        <v>254</v>
      </c>
      <c r="J21" s="64" t="s">
        <v>67</v>
      </c>
      <c r="K21" s="70"/>
      <c r="L21" s="81" t="s">
        <v>65</v>
      </c>
    </row>
    <row r="22" spans="1:12" ht="24" customHeight="1" x14ac:dyDescent="0.3">
      <c r="A22" s="139" t="s">
        <v>84</v>
      </c>
      <c r="B22" s="128"/>
      <c r="C22" s="128"/>
      <c r="D22" s="128"/>
      <c r="E22" s="128"/>
      <c r="F22" s="128"/>
      <c r="G22" s="128"/>
      <c r="H22" s="129"/>
      <c r="I22" s="104">
        <f>SUM(I6:I21)</f>
        <v>1231</v>
      </c>
      <c r="J22" s="89"/>
      <c r="K22" s="89"/>
    </row>
    <row r="23" spans="1:12" ht="15.75" customHeight="1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</sheetData>
  <autoFilter ref="A5:L5" xr:uid="{00000000-0001-0000-0500-000000000000}"/>
  <mergeCells count="3">
    <mergeCell ref="A2:L2"/>
    <mergeCell ref="A1:L1"/>
    <mergeCell ref="A22:H22"/>
  </mergeCells>
  <conditionalFormatting sqref="F6:F1000">
    <cfRule type="cellIs" dxfId="31" priority="24" operator="equal">
      <formula>"Согласовано"</formula>
    </cfRule>
    <cfRule type="cellIs" dxfId="30" priority="25" operator="equal">
      <formula>"Закрыто"</formula>
    </cfRule>
    <cfRule type="cellIs" dxfId="29" priority="26" operator="equal">
      <formula>"В работе"</formula>
    </cfRule>
    <cfRule type="cellIs" dxfId="28" priority="27" operator="equal">
      <formula>"На согласовании"</formula>
    </cfRule>
  </conditionalFormatting>
  <conditionalFormatting sqref="F6:G1000">
    <cfRule type="cellIs" dxfId="27" priority="28" operator="equal">
      <formula>"Ошибка"</formula>
    </cfRule>
    <cfRule type="cellIs" dxfId="26" priority="29" operator="equal">
      <formula>"Отменено"</formula>
    </cfRule>
  </conditionalFormatting>
  <conditionalFormatting sqref="G6:G1000">
    <cfRule type="cellIs" dxfId="25" priority="30" operator="equal">
      <formula>"Установлено"</formula>
    </cfRule>
    <cfRule type="cellIs" dxfId="24" priority="31" operator="equal">
      <formula>"Разработка"</formula>
    </cfRule>
    <cfRule type="cellIs" dxfId="23" priority="32" operator="equal">
      <formula>"Тестирование"</formula>
    </cfRule>
    <cfRule type="cellIs" dxfId="22" priority="33" operator="equal">
      <formula>"На приемке"</formula>
    </cfRule>
    <cfRule type="cellIs" dxfId="21" priority="34" operator="equal">
      <formula>"ОПЭ"</formula>
    </cfRule>
  </conditionalFormatting>
  <conditionalFormatting sqref="J6:J21">
    <cfRule type="cellIs" dxfId="20" priority="1" operator="equal">
      <formula>"Нет"</formula>
    </cfRule>
    <cfRule type="cellIs" dxfId="19" priority="2" operator="equal">
      <formula>"Да"</formula>
    </cfRule>
  </conditionalFormatting>
  <conditionalFormatting sqref="L6:L1000">
    <cfRule type="cellIs" dxfId="18" priority="3" operator="equal">
      <formula>"Высокий"</formula>
    </cfRule>
    <cfRule type="cellIs" dxfId="17" priority="4" operator="equal">
      <formula>"Средний"</formula>
    </cfRule>
    <cfRule type="cellIs" dxfId="16" priority="5" operator="equal">
      <formula>"Низкий"</formula>
    </cfRule>
  </conditionalFormatting>
  <dataValidations count="1">
    <dataValidation type="list" sqref="J6:J500" xr:uid="{00000000-0002-0000-05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5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5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A580C"/>
  </sheetPr>
  <dimension ref="A1:L17"/>
  <sheetViews>
    <sheetView showGridLines="0" zoomScaleNormal="100" workbookViewId="0">
      <pane ySplit="5" topLeftCell="A6" activePane="bottomLeft" state="frozen"/>
      <selection pane="bottomLeft" activeCell="B6" sqref="B6"/>
    </sheetView>
  </sheetViews>
  <sheetFormatPr defaultColWidth="8.6640625" defaultRowHeight="14.4" x14ac:dyDescent="0.3"/>
  <cols>
    <col min="1" max="1" width="5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41" t="s">
        <v>161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1:12" ht="15.75" customHeight="1" x14ac:dyDescent="0.3">
      <c r="A2" s="133" t="s">
        <v>59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COUNTA(A6:A15)</f>
        <v>10</v>
      </c>
      <c r="B4" s="58">
        <f>COUNTIF(G6:G15,"Установлено")+COUNTIF(G6:G15,"Не СОЛВО")+COUNTIF(G6:G15,"Выполнено")</f>
        <v>1</v>
      </c>
      <c r="C4" s="59">
        <f>COUNTIF(G6:G15,"В работе")+COUNTIF(G6:G15,"Тестирование")+COUNTIF(G6:G15,"Разработка")+COUNTIF(G6:G15,"ОПЭ")+COUNTIF(G6:G15,"На приемке")</f>
        <v>1</v>
      </c>
      <c r="D4" s="108">
        <f>SUM(I6:I15)</f>
        <v>175</v>
      </c>
      <c r="E4" s="60">
        <f>IF(COUNTA(A6:A15)=0,0,(COUNTIF(G6:G15,"Установлено")+COUNTIF(G6:G15,"Не СОЛВО")+COUNTIF(G6:G15,"Выполнено"))/COUNTA(A6:A15))</f>
        <v>0.1</v>
      </c>
      <c r="G4" s="23"/>
      <c r="H4" s="23"/>
      <c r="I4" s="23"/>
      <c r="J4" s="23"/>
      <c r="K4" s="23"/>
    </row>
    <row r="5" spans="1:12" ht="25.5" customHeight="1" x14ac:dyDescent="0.3">
      <c r="A5" s="90" t="s">
        <v>2</v>
      </c>
      <c r="B5" s="90" t="s">
        <v>3</v>
      </c>
      <c r="C5" s="90" t="s">
        <v>4</v>
      </c>
      <c r="D5" s="90" t="s">
        <v>5</v>
      </c>
      <c r="E5" s="90" t="s">
        <v>6</v>
      </c>
      <c r="F5" s="90" t="s">
        <v>7</v>
      </c>
      <c r="G5" s="90" t="s">
        <v>8</v>
      </c>
      <c r="H5" s="90" t="s">
        <v>9</v>
      </c>
      <c r="I5" s="90" t="s">
        <v>10</v>
      </c>
      <c r="J5" s="90" t="s">
        <v>11</v>
      </c>
      <c r="K5" s="90" t="s">
        <v>14</v>
      </c>
      <c r="L5" s="90" t="s">
        <v>13</v>
      </c>
    </row>
    <row r="6" spans="1:12" ht="37.5" customHeight="1" x14ac:dyDescent="0.3">
      <c r="A6" s="3">
        <v>34</v>
      </c>
      <c r="B6" s="61" t="s">
        <v>162</v>
      </c>
      <c r="C6" s="5" t="s">
        <v>163</v>
      </c>
      <c r="D6" s="62" t="s">
        <v>164</v>
      </c>
      <c r="E6" s="63" t="s">
        <v>74</v>
      </c>
      <c r="F6" s="96" t="s">
        <v>28</v>
      </c>
      <c r="G6" s="96" t="s">
        <v>38</v>
      </c>
      <c r="H6" s="8" t="s">
        <v>44</v>
      </c>
      <c r="I6" s="9"/>
      <c r="J6" s="64" t="s">
        <v>67</v>
      </c>
      <c r="K6" s="65"/>
      <c r="L6" s="81" t="s">
        <v>65</v>
      </c>
    </row>
    <row r="7" spans="1:12" ht="37.5" customHeight="1" x14ac:dyDescent="0.3">
      <c r="A7" s="12">
        <v>35</v>
      </c>
      <c r="B7" s="66" t="s">
        <v>165</v>
      </c>
      <c r="C7" s="14" t="s">
        <v>166</v>
      </c>
      <c r="D7" s="67" t="s">
        <v>167</v>
      </c>
      <c r="E7" s="68" t="s">
        <v>168</v>
      </c>
      <c r="F7" s="93" t="s">
        <v>29</v>
      </c>
      <c r="G7" s="98" t="s">
        <v>47</v>
      </c>
      <c r="H7" s="17" t="s">
        <v>51</v>
      </c>
      <c r="I7" s="18"/>
      <c r="J7" s="64" t="s">
        <v>64</v>
      </c>
      <c r="K7" s="70"/>
      <c r="L7" s="81" t="s">
        <v>65</v>
      </c>
    </row>
    <row r="8" spans="1:12" ht="37.5" customHeight="1" x14ac:dyDescent="0.3">
      <c r="A8" s="3">
        <v>36</v>
      </c>
      <c r="B8" s="61"/>
      <c r="C8" s="5" t="s">
        <v>169</v>
      </c>
      <c r="D8" s="62" t="s">
        <v>170</v>
      </c>
      <c r="E8" s="63" t="s">
        <v>155</v>
      </c>
      <c r="F8" s="93" t="s">
        <v>29</v>
      </c>
      <c r="G8" s="99" t="s">
        <v>49</v>
      </c>
      <c r="H8" s="8" t="s">
        <v>213</v>
      </c>
      <c r="I8" s="9"/>
      <c r="J8" s="64" t="s">
        <v>64</v>
      </c>
      <c r="K8" s="65"/>
      <c r="L8" s="81" t="s">
        <v>65</v>
      </c>
    </row>
    <row r="9" spans="1:12" ht="37.5" customHeight="1" x14ac:dyDescent="0.3">
      <c r="A9" s="12">
        <v>37</v>
      </c>
      <c r="B9" s="66" t="s">
        <v>171</v>
      </c>
      <c r="C9" s="14" t="s">
        <v>172</v>
      </c>
      <c r="D9" s="67" t="s">
        <v>173</v>
      </c>
      <c r="E9" s="68" t="s">
        <v>83</v>
      </c>
      <c r="F9" s="93" t="s">
        <v>29</v>
      </c>
      <c r="G9" s="99" t="s">
        <v>49</v>
      </c>
      <c r="H9" s="17" t="s">
        <v>51</v>
      </c>
      <c r="I9" s="18"/>
      <c r="J9" s="64" t="s">
        <v>64</v>
      </c>
      <c r="K9" s="70"/>
      <c r="L9" s="81" t="s">
        <v>65</v>
      </c>
    </row>
    <row r="10" spans="1:12" ht="37.5" customHeight="1" x14ac:dyDescent="0.3">
      <c r="A10" s="3">
        <v>38</v>
      </c>
      <c r="B10" s="61" t="s">
        <v>214</v>
      </c>
      <c r="C10" s="5" t="s">
        <v>174</v>
      </c>
      <c r="D10" s="62" t="s">
        <v>175</v>
      </c>
      <c r="E10" s="63" t="s">
        <v>83</v>
      </c>
      <c r="F10" s="93" t="s">
        <v>29</v>
      </c>
      <c r="G10" s="94" t="s">
        <v>42</v>
      </c>
      <c r="H10" s="8" t="s">
        <v>48</v>
      </c>
      <c r="I10" s="9">
        <v>175</v>
      </c>
      <c r="J10" s="64" t="s">
        <v>67</v>
      </c>
      <c r="K10" s="65"/>
      <c r="L10" s="81" t="s">
        <v>65</v>
      </c>
    </row>
    <row r="11" spans="1:12" ht="37.5" customHeight="1" x14ac:dyDescent="0.3">
      <c r="A11" s="12">
        <v>39</v>
      </c>
      <c r="B11" s="66" t="s">
        <v>176</v>
      </c>
      <c r="C11" s="14" t="s">
        <v>177</v>
      </c>
      <c r="D11" s="67" t="s">
        <v>178</v>
      </c>
      <c r="E11" s="68" t="s">
        <v>83</v>
      </c>
      <c r="F11" s="93" t="s">
        <v>29</v>
      </c>
      <c r="G11" s="97" t="s">
        <v>50</v>
      </c>
      <c r="H11" s="17" t="s">
        <v>51</v>
      </c>
      <c r="I11" s="18"/>
      <c r="J11" s="64" t="s">
        <v>64</v>
      </c>
      <c r="K11" s="70"/>
      <c r="L11" s="81" t="s">
        <v>65</v>
      </c>
    </row>
    <row r="12" spans="1:12" ht="37.5" customHeight="1" x14ac:dyDescent="0.3">
      <c r="A12" s="3">
        <v>40</v>
      </c>
      <c r="B12" s="61" t="s">
        <v>179</v>
      </c>
      <c r="C12" s="5" t="s">
        <v>180</v>
      </c>
      <c r="D12" s="62" t="s">
        <v>181</v>
      </c>
      <c r="E12" s="63" t="s">
        <v>83</v>
      </c>
      <c r="F12" s="93" t="s">
        <v>29</v>
      </c>
      <c r="G12" s="97" t="s">
        <v>50</v>
      </c>
      <c r="H12" s="8" t="s">
        <v>51</v>
      </c>
      <c r="I12" s="9"/>
      <c r="J12" s="64" t="s">
        <v>64</v>
      </c>
      <c r="K12" s="65"/>
      <c r="L12" s="81" t="s">
        <v>65</v>
      </c>
    </row>
    <row r="13" spans="1:12" ht="37.5" customHeight="1" x14ac:dyDescent="0.3">
      <c r="A13" s="12">
        <v>41</v>
      </c>
      <c r="B13" s="66" t="s">
        <v>182</v>
      </c>
      <c r="C13" s="14" t="s">
        <v>183</v>
      </c>
      <c r="D13" s="67" t="s">
        <v>184</v>
      </c>
      <c r="E13" s="68" t="s">
        <v>83</v>
      </c>
      <c r="F13" s="93" t="s">
        <v>29</v>
      </c>
      <c r="G13" s="97" t="s">
        <v>50</v>
      </c>
      <c r="H13" s="17" t="s">
        <v>51</v>
      </c>
      <c r="I13" s="18"/>
      <c r="J13" s="64" t="s">
        <v>64</v>
      </c>
      <c r="K13" s="70"/>
      <c r="L13" s="81" t="s">
        <v>65</v>
      </c>
    </row>
    <row r="14" spans="1:12" ht="37.5" customHeight="1" x14ac:dyDescent="0.3">
      <c r="A14" s="3">
        <v>42</v>
      </c>
      <c r="B14" s="61" t="s">
        <v>185</v>
      </c>
      <c r="C14" s="5" t="s">
        <v>186</v>
      </c>
      <c r="D14" s="62" t="s">
        <v>187</v>
      </c>
      <c r="E14" s="63" t="s">
        <v>83</v>
      </c>
      <c r="F14" s="93" t="s">
        <v>29</v>
      </c>
      <c r="G14" s="97" t="s">
        <v>50</v>
      </c>
      <c r="H14" s="8" t="s">
        <v>51</v>
      </c>
      <c r="I14" s="9"/>
      <c r="J14" s="64" t="s">
        <v>64</v>
      </c>
      <c r="K14" s="65"/>
      <c r="L14" s="81" t="s">
        <v>65</v>
      </c>
    </row>
    <row r="15" spans="1:12" ht="37.5" customHeight="1" x14ac:dyDescent="0.3">
      <c r="A15" s="12">
        <v>43</v>
      </c>
      <c r="B15" s="66" t="s">
        <v>188</v>
      </c>
      <c r="C15" s="14" t="s">
        <v>189</v>
      </c>
      <c r="D15" s="67" t="s">
        <v>190</v>
      </c>
      <c r="E15" s="68" t="s">
        <v>83</v>
      </c>
      <c r="F15" s="98" t="s">
        <v>47</v>
      </c>
      <c r="G15" s="98" t="s">
        <v>47</v>
      </c>
      <c r="H15" s="17" t="s">
        <v>51</v>
      </c>
      <c r="I15" s="18"/>
      <c r="J15" s="64" t="s">
        <v>64</v>
      </c>
      <c r="K15" s="70"/>
      <c r="L15" s="81" t="s">
        <v>65</v>
      </c>
    </row>
    <row r="16" spans="1:12" ht="24" customHeight="1" x14ac:dyDescent="0.3">
      <c r="A16" s="140" t="s">
        <v>84</v>
      </c>
      <c r="B16" s="128"/>
      <c r="C16" s="128"/>
      <c r="D16" s="128"/>
      <c r="E16" s="128"/>
      <c r="F16" s="128"/>
      <c r="G16" s="128"/>
      <c r="H16" s="129"/>
      <c r="I16" s="107">
        <f>SUM(I6:I15)</f>
        <v>175</v>
      </c>
      <c r="J16" s="91"/>
      <c r="K16" s="91"/>
    </row>
    <row r="17" spans="1:11" ht="15.75" customHeight="1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</sheetData>
  <autoFilter ref="A5:L5" xr:uid="{00000000-0001-0000-0600-000000000000}"/>
  <mergeCells count="3">
    <mergeCell ref="A2:L2"/>
    <mergeCell ref="A16:H16"/>
    <mergeCell ref="A1:L1"/>
  </mergeCells>
  <conditionalFormatting sqref="F6:F1000">
    <cfRule type="cellIs" dxfId="15" priority="24" operator="equal">
      <formula>"Согласовано"</formula>
    </cfRule>
    <cfRule type="cellIs" dxfId="14" priority="25" operator="equal">
      <formula>"Закрыто"</formula>
    </cfRule>
    <cfRule type="cellIs" dxfId="13" priority="26" operator="equal">
      <formula>"В работе"</formula>
    </cfRule>
    <cfRule type="cellIs" dxfId="12" priority="27" operator="equal">
      <formula>"На согласовании"</formula>
    </cfRule>
  </conditionalFormatting>
  <conditionalFormatting sqref="F6:G1000">
    <cfRule type="cellIs" dxfId="11" priority="28" operator="equal">
      <formula>"Ошибка"</formula>
    </cfRule>
    <cfRule type="cellIs" dxfId="10" priority="29" operator="equal">
      <formula>"Отменено"</formula>
    </cfRule>
  </conditionalFormatting>
  <conditionalFormatting sqref="G6:G1000">
    <cfRule type="cellIs" dxfId="9" priority="30" operator="equal">
      <formula>"Установлено"</formula>
    </cfRule>
    <cfRule type="cellIs" dxfId="8" priority="31" operator="equal">
      <formula>"Разработка"</formula>
    </cfRule>
    <cfRule type="cellIs" dxfId="7" priority="32" operator="equal">
      <formula>"Тестирование"</formula>
    </cfRule>
    <cfRule type="cellIs" dxfId="6" priority="33" operator="equal">
      <formula>"На приемке"</formula>
    </cfRule>
    <cfRule type="cellIs" dxfId="5" priority="34" operator="equal">
      <formula>"ОПЭ"</formula>
    </cfRule>
  </conditionalFormatting>
  <conditionalFormatting sqref="J6:J15">
    <cfRule type="cellIs" dxfId="4" priority="1" operator="equal">
      <formula>"Нет"</formula>
    </cfRule>
    <cfRule type="cellIs" dxfId="3" priority="2" operator="equal">
      <formula>"Да"</formula>
    </cfRule>
  </conditionalFormatting>
  <conditionalFormatting sqref="L6:L1000">
    <cfRule type="cellIs" dxfId="2" priority="3" operator="equal">
      <formula>"Высокий"</formula>
    </cfRule>
    <cfRule type="cellIs" dxfId="1" priority="4" operator="equal">
      <formula>"Средний"</formula>
    </cfRule>
    <cfRule type="cellIs" dxfId="0" priority="5" operator="equal">
      <formula>"Низкий"</formula>
    </cfRule>
  </conditionalFormatting>
  <dataValidations count="1">
    <dataValidation type="list" sqref="J6:J500" xr:uid="{00000000-0002-0000-06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6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6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6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7280"/>
  </sheetPr>
  <dimension ref="A1:C5"/>
  <sheetViews>
    <sheetView showGridLines="0" zoomScaleNormal="100" workbookViewId="0">
      <selection activeCell="B4" sqref="B4"/>
    </sheetView>
  </sheetViews>
  <sheetFormatPr defaultColWidth="8.6640625" defaultRowHeight="14.4" x14ac:dyDescent="0.3"/>
  <cols>
    <col min="1" max="1" width="32" customWidth="1"/>
    <col min="2" max="2" width="18" customWidth="1"/>
    <col min="3" max="3" width="48.21875" bestFit="1" customWidth="1"/>
  </cols>
  <sheetData>
    <row r="1" spans="1:3" ht="31.5" customHeight="1" x14ac:dyDescent="0.3">
      <c r="A1" s="142" t="s">
        <v>191</v>
      </c>
      <c r="B1" s="123"/>
      <c r="C1" s="123"/>
    </row>
    <row r="2" spans="1:3" ht="21.75" customHeight="1" x14ac:dyDescent="0.3">
      <c r="A2" s="72" t="s">
        <v>192</v>
      </c>
      <c r="B2" s="72" t="s">
        <v>193</v>
      </c>
      <c r="C2" s="72" t="s">
        <v>194</v>
      </c>
    </row>
    <row r="3" spans="1:3" ht="21.75" customHeight="1" x14ac:dyDescent="0.3">
      <c r="A3" s="74" t="s">
        <v>195</v>
      </c>
      <c r="B3" s="11">
        <v>2026</v>
      </c>
      <c r="C3" s="74"/>
    </row>
    <row r="4" spans="1:3" ht="21.75" customHeight="1" x14ac:dyDescent="0.3">
      <c r="A4" s="73" t="s">
        <v>196</v>
      </c>
      <c r="B4" s="20" t="s">
        <v>197</v>
      </c>
      <c r="C4" s="73" t="s">
        <v>198</v>
      </c>
    </row>
    <row r="5" spans="1:3" ht="21.75" customHeight="1" x14ac:dyDescent="0.3">
      <c r="A5" s="74" t="s">
        <v>199</v>
      </c>
      <c r="B5" s="11" t="s">
        <v>200</v>
      </c>
      <c r="C5" s="74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"/>
  <sheetViews>
    <sheetView workbookViewId="0">
      <selection activeCell="B11" sqref="B11"/>
    </sheetView>
  </sheetViews>
  <sheetFormatPr defaultRowHeight="14.4" x14ac:dyDescent="0.3"/>
  <cols>
    <col min="1" max="1" width="15.77734375" bestFit="1" customWidth="1"/>
  </cols>
  <sheetData>
    <row r="1" spans="1:1" x14ac:dyDescent="0.3">
      <c r="A1" t="s">
        <v>29</v>
      </c>
    </row>
    <row r="2" spans="1:1" x14ac:dyDescent="0.3">
      <c r="A2" t="s">
        <v>28</v>
      </c>
    </row>
    <row r="3" spans="1:1" x14ac:dyDescent="0.3">
      <c r="A3" t="s">
        <v>40</v>
      </c>
    </row>
    <row r="4" spans="1:1" x14ac:dyDescent="0.3">
      <c r="A4" t="s">
        <v>42</v>
      </c>
    </row>
    <row r="5" spans="1:1" x14ac:dyDescent="0.3">
      <c r="A5" t="s">
        <v>52</v>
      </c>
    </row>
    <row r="6" spans="1:1" x14ac:dyDescent="0.3">
      <c r="A6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"/>
  <sheetViews>
    <sheetView workbookViewId="0">
      <selection activeCell="J11" sqref="J11"/>
    </sheetView>
  </sheetViews>
  <sheetFormatPr defaultRowHeight="14.4" x14ac:dyDescent="0.3"/>
  <cols>
    <col min="1" max="1" width="22.21875" bestFit="1" customWidth="1"/>
  </cols>
  <sheetData>
    <row r="1" spans="1:1" x14ac:dyDescent="0.3">
      <c r="A1" t="s">
        <v>38</v>
      </c>
    </row>
    <row r="2" spans="1:1" x14ac:dyDescent="0.3">
      <c r="A2" t="s">
        <v>55</v>
      </c>
    </row>
    <row r="3" spans="1:1" x14ac:dyDescent="0.3">
      <c r="A3" t="s">
        <v>42</v>
      </c>
    </row>
    <row r="4" spans="1:1" x14ac:dyDescent="0.3">
      <c r="A4" t="s">
        <v>45</v>
      </c>
    </row>
    <row r="5" spans="1:1" x14ac:dyDescent="0.3">
      <c r="A5" t="s">
        <v>47</v>
      </c>
    </row>
    <row r="6" spans="1:1" x14ac:dyDescent="0.3">
      <c r="A6" t="s">
        <v>49</v>
      </c>
    </row>
    <row r="7" spans="1:1" x14ac:dyDescent="0.3">
      <c r="A7" t="s">
        <v>40</v>
      </c>
    </row>
    <row r="8" spans="1:1" x14ac:dyDescent="0.3">
      <c r="A8" t="s">
        <v>50</v>
      </c>
    </row>
    <row r="9" spans="1:1" x14ac:dyDescent="0.3">
      <c r="A9" t="s">
        <v>52</v>
      </c>
    </row>
    <row r="10" spans="1:1" x14ac:dyDescent="0.3">
      <c r="A10" t="s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89</v>
      </c>
    </row>
    <row r="2" spans="1:1" x14ac:dyDescent="0.3">
      <c r="A2" t="s">
        <v>65</v>
      </c>
    </row>
    <row r="3" spans="1:1" x14ac:dyDescent="0.3">
      <c r="A3" t="s">
        <v>201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RowHeight="14.4" x14ac:dyDescent="0.3"/>
  <cols>
    <col min="1" max="1" width="15.77734375" bestFit="1" customWidth="1"/>
    <col min="2" max="2" width="13.44140625" bestFit="1" customWidth="1"/>
  </cols>
  <sheetData>
    <row r="1" spans="1:3" x14ac:dyDescent="0.3">
      <c r="A1" t="s">
        <v>202</v>
      </c>
      <c r="B1" t="s">
        <v>202</v>
      </c>
      <c r="C1" t="s">
        <v>89</v>
      </c>
    </row>
    <row r="2" spans="1:3" x14ac:dyDescent="0.3">
      <c r="A2" t="s">
        <v>29</v>
      </c>
      <c r="B2" t="s">
        <v>45</v>
      </c>
      <c r="C2" t="s">
        <v>65</v>
      </c>
    </row>
    <row r="3" spans="1:3" x14ac:dyDescent="0.3">
      <c r="A3" t="s">
        <v>203</v>
      </c>
      <c r="B3" t="s">
        <v>42</v>
      </c>
      <c r="C3" t="s">
        <v>201</v>
      </c>
    </row>
    <row r="4" spans="1:3" x14ac:dyDescent="0.3">
      <c r="A4" t="s">
        <v>204</v>
      </c>
      <c r="B4" t="s">
        <v>54</v>
      </c>
    </row>
    <row r="5" spans="1:3" x14ac:dyDescent="0.3">
      <c r="A5" t="s">
        <v>205</v>
      </c>
      <c r="B5" t="s">
        <v>40</v>
      </c>
    </row>
    <row r="6" spans="1:3" x14ac:dyDescent="0.3">
      <c r="A6" t="s">
        <v>206</v>
      </c>
      <c r="B6" t="s">
        <v>38</v>
      </c>
    </row>
    <row r="7" spans="1:3" x14ac:dyDescent="0.3">
      <c r="A7" t="s">
        <v>207</v>
      </c>
      <c r="B7" t="s">
        <v>205</v>
      </c>
    </row>
    <row r="8" spans="1:3" x14ac:dyDescent="0.3">
      <c r="B8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📊 Дашборд</vt:lpstr>
      <vt:lpstr>📋 Реестр</vt:lpstr>
      <vt:lpstr>Судовые документы</vt:lpstr>
      <vt:lpstr>Таможенные документы</vt:lpstr>
      <vt:lpstr>Экспортные грузы</vt:lpstr>
      <vt:lpstr>Терминал</vt:lpstr>
      <vt:lpstr>ЖД грузы</vt:lpstr>
      <vt:lpstr>Настройки</vt:lpstr>
      <vt:lpstr>Статус СЦ</vt:lpstr>
      <vt:lpstr>Статус СОЛВО</vt:lpstr>
      <vt:lpstr>Приоритет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Замятин Сергей Александрович (Solvo)</cp:lastModifiedBy>
  <cp:revision>0</cp:revision>
  <dcterms:created xsi:type="dcterms:W3CDTF">2026-05-19T08:48:30Z</dcterms:created>
  <dcterms:modified xsi:type="dcterms:W3CDTF">2026-05-20T21:11:09Z</dcterms:modified>
  <dc:language>en-US</dc:language>
</cp:coreProperties>
</file>